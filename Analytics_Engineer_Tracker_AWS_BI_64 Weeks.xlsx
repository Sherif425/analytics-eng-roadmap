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eekly Plan" sheetId="2" state="visible" r:id="rId4"/>
    <sheet name="Projects" sheetId="3" state="visible" r:id="rId5"/>
    <sheet name="Skills" sheetId="4" state="visible" r:id="rId6"/>
    <sheet name="Upwork Pipeline" sheetId="5" state="visible" r:id="rId7"/>
    <sheet name="Monthly Review" sheetId="6" state="visible" r:id="rId8"/>
  </sheets>
  <definedNames>
    <definedName function="false" hidden="true" localSheetId="4" name="_xlnm._FilterDatabase" vbProcedure="false">'Upwork Pipeline'!$A$4:$M$505</definedName>
    <definedName function="false" hidden="true" localSheetId="1" name="_xlnm._FilterDatabase" vbProcedure="false">'Weekly Plan'!$A$4:$M$68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Change this and every week date in Weekly Plan updates.</t>
        </r>
      </text>
    </comment>
  </commentList>
</comments>
</file>

<file path=xl/sharedStrings.xml><?xml version="1.0" encoding="utf-8"?>
<sst xmlns="http://schemas.openxmlformats.org/spreadsheetml/2006/main" count="697" uniqueCount="492">
  <si>
    <t xml:space="preserve">Analytics Engineer Roadmap — Dashboard</t>
  </si>
  <si>
    <t xml:space="preserve">Everything here is calculated from the other sheets. Only the yellow cells are inputs.</t>
  </si>
  <si>
    <t xml:space="preserve">Settings</t>
  </si>
  <si>
    <t xml:space="preserve">Start date (Monday of week 1)</t>
  </si>
  <si>
    <t xml:space="preserve">Weekly hours target (reference)</t>
  </si>
  <si>
    <t xml:space="preserve">Monthly income goal ($)</t>
  </si>
  <si>
    <t xml:space="preserve">Today</t>
  </si>
  <si>
    <t xml:space="preserve">Learning progress</t>
  </si>
  <si>
    <t xml:space="preserve">Upwork (analytics niche)</t>
  </si>
  <si>
    <t xml:space="preserve">Current week (by date)</t>
  </si>
  <si>
    <t xml:space="preserve">Proposals sent</t>
  </si>
  <si>
    <t xml:space="preserve">Weeks marked Done</t>
  </si>
  <si>
    <t xml:space="preserve">Connects spent</t>
  </si>
  <si>
    <t xml:space="preserve">Weeks completed %</t>
  </si>
  <si>
    <t xml:space="preserve">Viewed</t>
  </si>
  <si>
    <t xml:space="preserve">Weeks behind schedule</t>
  </si>
  <si>
    <t xml:space="preserve">Interviews</t>
  </si>
  <si>
    <t xml:space="preserve">Planned hours to date</t>
  </si>
  <si>
    <t xml:space="preserve">Hired</t>
  </si>
  <si>
    <t xml:space="preserve">Actual hours logged</t>
  </si>
  <si>
    <t xml:space="preserve">Win rate (hired / sent)</t>
  </si>
  <si>
    <t xml:space="preserve">Hours vs plan</t>
  </si>
  <si>
    <t xml:space="preserve">Total contract value ($)</t>
  </si>
  <si>
    <t xml:space="preserve">Projects done (of 14)</t>
  </si>
  <si>
    <t xml:space="preserve">Average hourly rate on hires ($)</t>
  </si>
  <si>
    <t xml:space="preserve">Case studies written</t>
  </si>
  <si>
    <t xml:space="preserve">Last logged month income ($)</t>
  </si>
  <si>
    <t xml:space="preserve">Average confidence (1–5)</t>
  </si>
  <si>
    <t xml:space="preserve">Progress to income goal</t>
  </si>
  <si>
    <t xml:space="preserve">Skills at target</t>
  </si>
  <si>
    <t xml:space="preserve">Phases</t>
  </si>
  <si>
    <t xml:space="preserve">Phase</t>
  </si>
  <si>
    <t xml:space="preserve">% done</t>
  </si>
  <si>
    <t xml:space="preserve">Weeks done</t>
  </si>
  <si>
    <t xml:space="preserve">Weeks in phase</t>
  </si>
  <si>
    <t xml:space="preserve">1. Foundations &amp; bridge from DBA</t>
  </si>
  <si>
    <t xml:space="preserve">2. Warehouses + dbt in depth</t>
  </si>
  <si>
    <t xml:space="preserve">3. BI &amp; business analytics</t>
  </si>
  <si>
    <t xml:space="preserve">4. Batch ELT deployed on AWS</t>
  </si>
  <si>
    <t xml:space="preserve">5. Streaming &amp; AWS lakehouse</t>
  </si>
  <si>
    <t xml:space="preserve">6. Client-ready specialization</t>
  </si>
  <si>
    <t xml:space="preserve">7. Capstone, certification &amp; launch</t>
  </si>
  <si>
    <t xml:space="preserve">How to use</t>
  </si>
  <si>
    <t xml:space="preserve">• Yellow cells are inputs. White cells are formulas: leave them alone.</t>
  </si>
  <si>
    <t xml:space="preserve">• Every Sunday: in Weekly Plan, enter actual hours, set Status, rate confidence 1–5, add notes.</t>
  </si>
  <si>
    <t xml:space="preserve">• Every proposal: add one row in Upwork Pipeline.</t>
  </si>
  <si>
    <t xml:space="preserve">• End of each month: fill income and reflections in Monthly Review, and re-rate yourself in Skills.</t>
  </si>
  <si>
    <t xml:space="preserve">• Row 5 of Upwork Pipeline and Projects is an example of the expected format; overwrite or delete it.</t>
  </si>
  <si>
    <t xml:space="preserve">Weekly Plan — 64 weeks</t>
  </si>
  <si>
    <t xml:space="preserve">Dates follow the start date on the Dashboard. Fill the yellow columns each Sunday.</t>
  </si>
  <si>
    <t xml:space="preserve">Week</t>
  </si>
  <si>
    <t xml:space="preserve">Start</t>
  </si>
  <si>
    <t xml:space="preserve">Focus</t>
  </si>
  <si>
    <t xml:space="preserve">Planned h</t>
  </si>
  <si>
    <t xml:space="preserve">Actual h</t>
  </si>
  <si>
    <t xml:space="preserve">Status</t>
  </si>
  <si>
    <t xml:space="preserve">Confidence (1–5)</t>
  </si>
  <si>
    <t xml:space="preserve">Project</t>
  </si>
  <si>
    <t xml:space="preserve">Learn</t>
  </si>
  <si>
    <t xml:space="preserve">Build</t>
  </si>
  <si>
    <t xml:space="preserve">Upwork action</t>
  </si>
  <si>
    <t xml:space="preserve">Notes / blockers</t>
  </si>
  <si>
    <t xml:space="preserve">Advanced analytical SQL I</t>
  </si>
  <si>
    <t xml:space="preserve">Done</t>
  </si>
  <si>
    <t xml:space="preserve">Window functions (ROW_NUMBER, RANK, LAG/LEAD, running totals), CTEs, QUALIFY, GROUPING SETS/ROLLUP, CASE-based pivots. Install DuckDB and practice locally for free.</t>
  </si>
  <si>
    <t xml:space="preserve">Solve 30 analytical SQL exercises on a sample dataset; push to a GitHub repo 'sql-analytics-practice'.</t>
  </si>
  <si>
    <t xml:space="preserve">Audit your current profile. List the past DBA/DevOps jobs that support an analytics story (SQL tuning, MySQL, Docker, Linux).</t>
  </si>
  <si>
    <t xml:space="preserve">Example row: replace with your own. Window functions solid; GROUPING SETS needs review.</t>
  </si>
  <si>
    <t xml:space="preserve">Advanced analytical SQL II</t>
  </si>
  <si>
    <t xml:space="preserve">Not started</t>
  </si>
  <si>
    <t xml:space="preserve">Analytics patterns: cohorts, retention, funnels, sessionization, gaps-and-islands, date spines, deduplication, percentiles. Reading query plans in a columnar engine vs MySQL.</t>
  </si>
  <si>
    <t xml:space="preserve">Add 20 pattern exercises with written explanations to the practice repo.</t>
  </si>
  <si>
    <t xml:space="preserve">Save 20 real analytics engineer / dbt / Snowflake job posts to a research list. Note tools, budgets and wording.</t>
  </si>
  <si>
    <t xml:space="preserve">Dimensional modeling (Kimball)</t>
  </si>
  <si>
    <t xml:space="preserve">P1</t>
  </si>
  <si>
    <t xml:space="preserve">Grain, fact types (transaction, periodic snapshot, accumulating), conformed dimensions, surrogate keys, SCD types 1/2, bus matrix, one-big-table vs star schema.</t>
  </si>
  <si>
    <t xml:space="preserve">P1 starts: design a bus matrix and star schema for the MySQL Sakila sample database.</t>
  </si>
  <si>
    <t xml:space="preserve">Summarize the 20 saved posts: top 10 recurring requirements. Adjust the plan if something big is missing.</t>
  </si>
  <si>
    <t xml:space="preserve">Python for data work</t>
  </si>
  <si>
    <t xml:space="preserve">pandas or polars basics, requests, API pagination and retries, environment variables and secrets, logging, pytest, project structure with virtual environments.</t>
  </si>
  <si>
    <t xml:space="preserve">Python extractor exercise: a public REST API to Parquet files, with tests and logging.</t>
  </si>
  <si>
    <t xml:space="preserve">Keep taking DBA/DevOps work for income. No new-niche bids yet.</t>
  </si>
  <si>
    <t xml:space="preserve">dbt fundamentals</t>
  </si>
  <si>
    <t xml:space="preserve">dbt-duckdb setup, project structure (staging / intermediate / marts), sources, ref, materializations, generic tests, docs, seeds. Complete the free dbt Fundamentals course.</t>
  </si>
  <si>
    <t xml:space="preserve">P1: staging and intermediate models for Sakila in dbt on DuckDB.</t>
  </si>
  <si>
    <t xml:space="preserve">Draft a new headline and overview that bridge 'MySQL DBA' to 'data warehouse / analytics'.</t>
  </si>
  <si>
    <t xml:space="preserve">Project 1 delivery</t>
  </si>
  <si>
    <t xml:space="preserve">Metabase basics (run in Docker), writing a project README, drawing a simple architecture diagram.</t>
  </si>
  <si>
    <t xml:space="preserve">P1 finish: fact and dimension marts, tests, dbt docs, Metabase dashboard, README with business story.</t>
  </si>
  <si>
    <t xml:space="preserve">Add P1 to your portfolio. Update your profile with the bridge headline.</t>
  </si>
  <si>
    <t xml:space="preserve">Snowflake architecture</t>
  </si>
  <si>
    <t xml:space="preserve">P2</t>
  </si>
  <si>
    <t xml:space="preserve">Virtual warehouses, micro-partitions, RBAC and roles, stages, file formats, COPY INTO, time travel, zero-copy cloning, credit usage, resource monitors, auto-suspend.</t>
  </si>
  <si>
    <t xml:space="preserve">Start the Snowflake free trial. On day one set Snowflake resource monitors and an AWS Budgets alarm on your AWS account. Load the Olist CSVs through a stage with COPY INTO. Script your roles and warehouses.</t>
  </si>
  <si>
    <t xml:space="preserve">Take the Snowflake-related Upwork skill tags into your profile once you have used them.</t>
  </si>
  <si>
    <t xml:space="preserve">dbt intermediate</t>
  </si>
  <si>
    <t xml:space="preserve">Incremental models (merge strategy, is_incremental), snapshots for SCD2, Jinja and macros, packages (dbt_utils, dbt_expectations), exposures.</t>
  </si>
  <si>
    <t xml:space="preserve">P2: staging and intermediate models for Olist on Snowflake.</t>
  </si>
  <si>
    <t xml:space="preserve">Read 10 winning-style proposals in the analytics category (profiles of top freelancers) and note their structure.</t>
  </si>
  <si>
    <t xml:space="preserve">Project 2: marts &amp; tests</t>
  </si>
  <si>
    <t xml:space="preserve">Designing marts for business questions, naming conventions, test coverage strategy.</t>
  </si>
  <si>
    <t xml:space="preserve">P2: fct_orders, fct_order_items, dim_customers, dim_sellers, dim_products, dim_date with tests.</t>
  </si>
  <si>
    <t xml:space="preserve">Write 3 proposal templates: dbt fix, SQL optimization, dashboard + model.</t>
  </si>
  <si>
    <t xml:space="preserve">Project 2: metrics &amp; dashboard</t>
  </si>
  <si>
    <t xml:space="preserve">Metric definitions (revenue, AOV, delivery SLA, repeat rate), Metabase questions and dashboards.</t>
  </si>
  <si>
    <t xml:space="preserve">P2: first dashboard in Metabase for revenue, delivery performance, seller performance and review score vs delay (rebuilt properly in Power BI in P4). Publish dbt docs.</t>
  </si>
  <si>
    <t xml:space="preserve">Prepare the specialized profile text: 'Analytics Engineer | Snowflake + dbt'.</t>
  </si>
  <si>
    <t xml:space="preserve">CI/CD for dbt</t>
  </si>
  <si>
    <t xml:space="preserve">GitHub Actions for dbt build on pull requests, slim CI with state:modified, separate dev and prod targets, pre-commit and SQLFluff linting.</t>
  </si>
  <si>
    <t xml:space="preserve">P2 finish: CI pipeline, README, one-page case study.</t>
  </si>
  <si>
    <t xml:space="preserve">Publish the specialized profile. Start 2–3 proposals per week on small dbt/SQL/dashboard jobs.</t>
  </si>
  <si>
    <t xml:space="preserve">BigQuery fundamentals</t>
  </si>
  <si>
    <t xml:space="preserve">P3</t>
  </si>
  <si>
    <t xml:space="preserve">Storage vs compute, partitioning and clustering, on-demand pricing (bytes scanned), nested fields (STRUCT, ARRAY, UNNEST), the free sandbox. GCP basics: projects, IAM, service accounts, Cloud Storage, billing budgets.</t>
  </si>
  <si>
    <t xml:space="preserve">Explore the public GA4 sample dataset (bigquery-public-data.ga4_obfuscated_sample_ecommerce).</t>
  </si>
  <si>
    <t xml:space="preserve">3 proposals. Track every one in the Upwork Pipeline sheet.</t>
  </si>
  <si>
    <t xml:space="preserve">Project 3: GA4 modeling</t>
  </si>
  <si>
    <t xml:space="preserve">GA4 event schema, flattening event_params, sessionization, channel grouping, funnels.</t>
  </si>
  <si>
    <t xml:space="preserve">P3: dbt-bigquery project with sessions, events and funnel models.</t>
  </si>
  <si>
    <t xml:space="preserve">3 proposals. Prefer fixed-price jobs under $300 for fast reviews.</t>
  </si>
  <si>
    <t xml:space="preserve">Project 3: Looker Studio dashboard</t>
  </si>
  <si>
    <t xml:space="preserve">Looker Studio: data sources on BigQuery, calculated fields, filters and controls, blending, sharing. Measuring bytes scanned before and after partitioning.</t>
  </si>
  <si>
    <t xml:space="preserve">P3: marketing funnel dashboard in Looker Studio, cost notes on partitioning.</t>
  </si>
  <si>
    <t xml:space="preserve">Add P2 to the portfolio. 3 proposals.</t>
  </si>
  <si>
    <t xml:space="preserve">Project 3: deploy on Google Cloud</t>
  </si>
  <si>
    <t xml:space="preserve">Cloud Run jobs, Cloud Scheduler, Secret Manager, Artifact Registry, service accounts with least privilege.</t>
  </si>
  <si>
    <t xml:space="preserve">P3 finish: dbt packaged in a container, run daily as a Cloud Run job on Cloud Scheduler with Secret Manager. README, case study.</t>
  </si>
  <si>
    <t xml:space="preserve">Add P3 to the portfolio. 3 proposals.</t>
  </si>
  <si>
    <t xml:space="preserve">Data quality &amp; dbt testing</t>
  </si>
  <si>
    <t xml:space="preserve">Singular and generic tests, dbt unit tests, model contracts, source freshness, intro to the dbt Semantic Layer.</t>
  </si>
  <si>
    <t xml:space="preserve">Add unit tests, contracts and freshness checks to P2.</t>
  </si>
  <si>
    <t xml:space="preserve">3–5 proposals. Follow up on any viewed proposals.</t>
  </si>
  <si>
    <t xml:space="preserve">Review &amp; buffer</t>
  </si>
  <si>
    <t xml:space="preserve">Catch up on anything behind. Review weak spots from the Skills sheet.</t>
  </si>
  <si>
    <t xml:space="preserve">Clean GitHub, write a GitHub profile README that links all projects. Mid-phase retrospective.</t>
  </si>
  <si>
    <t xml:space="preserve">Review proposal stats: views, replies, interviews. Improve the weakest template.</t>
  </si>
  <si>
    <t xml:space="preserve">Power BI fundamentals</t>
  </si>
  <si>
    <t xml:space="preserve">P4</t>
  </si>
  <si>
    <t xml:space="preserve">Power BI Desktop, Power Query, star-schema data model, relationships, Import vs DirectQuery, connecting to Snowflake and BigQuery, publishing to the Power BI Service (use the free trial).</t>
  </si>
  <si>
    <t xml:space="preserve">Connect Power BI to your P2 Snowflake marts; build the model on top of dbt facts and dimensions (no transformations in Power BI).</t>
  </si>
  <si>
    <t xml:space="preserve">3–5 proposals. Start including small "Power BI dashboard" jobs.</t>
  </si>
  <si>
    <t xml:space="preserve">DAX essentials</t>
  </si>
  <si>
    <t xml:space="preserve">Measures vs calculated columns, CALCULATE and filter context, a proper date table, time intelligence (YTD, MoM, YoY), ranking, basic performance rules.</t>
  </si>
  <si>
    <t xml:space="preserve">Write the measures for P4: revenue, orders, AOV, growth %, repeat-customer rate, delivery SLA.</t>
  </si>
  <si>
    <t xml:space="preserve">3–5 proposals.</t>
  </si>
  <si>
    <t xml:space="preserve">Dashboard design &amp; storytelling</t>
  </si>
  <si>
    <t xml:space="preserve">Chart choice, KPI cards, layout for executives vs analysts, color and accessibility, drill-through, tooltips, mobile layout. Read "Storytelling with Data" (Knaflic).</t>
  </si>
  <si>
    <t xml:space="preserve">Sketch the P4 pages on paper first: executive overview, products, customers, delivery.</t>
  </si>
  <si>
    <t xml:space="preserve">3–5 proposals. Save 10 good dashboard examples from Upwork portfolios.</t>
  </si>
  <si>
    <t xml:space="preserve">Project 4: sales analytics in Power BI</t>
  </si>
  <si>
    <t xml:space="preserve">Sales KPIs: revenue, AOV, product and category mix, RFM customer segments, cohorts, geography. Row-level security, scheduled refresh.</t>
  </si>
  <si>
    <t xml:space="preserve">P4 finish: multi-page Power BI sales dashboard on Snowflake with row-level security per seller, scheduled refresh, 3-minute demo video, case study.</t>
  </si>
  <si>
    <t xml:space="preserve">Add P4 to portfolio. Create a "Power BI on Snowflake/BigQuery" specialized profile section.</t>
  </si>
  <si>
    <t xml:space="preserve">Marketing analytics domain</t>
  </si>
  <si>
    <t xml:space="preserve">P5</t>
  </si>
  <si>
    <t xml:space="preserve">Ad platform data (Google Ads, Meta Ads), UTM parameters, CAC, ROAS, CPA, attribution models (last-click, first-click, linear), blended vs platform-reported numbers.</t>
  </si>
  <si>
    <t xml:space="preserve">P5 starts: generate realistic Google/Meta ad-spend data by campaign and day matching the GA4 sample dates; load to BigQuery; dbt staging.</t>
  </si>
  <si>
    <t xml:space="preserve">3–5 proposals. Look at marketing-agency job posts and note what they measure.</t>
  </si>
  <si>
    <t xml:space="preserve">Project 5: marketing performance</t>
  </si>
  <si>
    <t xml:space="preserve">Joining sessions, orders and ad spend by channel and campaign; handling attribution windows; one source of truth vs ad platform numbers.</t>
  </si>
  <si>
    <t xml:space="preserve">P5 finish: dbt marts for campaign performance, Looker Studio dashboard (ROAS, CAC, spend vs revenue by channel), plus a Power BI version of the executive page. Case study.</t>
  </si>
  <si>
    <t xml:space="preserve">Add P5 to portfolio. Draft a fixed-price "marketing dashboard" offer.</t>
  </si>
  <si>
    <t xml:space="preserve">BI review &amp; offers</t>
  </si>
  <si>
    <t xml:space="preserve">Review weak DAX topics. Power BI performance basics (aggregations, reducing model size).</t>
  </si>
  <si>
    <t xml:space="preserve">Polish P4 and P5 screenshots and videos. Retrospective.</t>
  </si>
  <si>
    <t xml:space="preserve">Publish two Project Catalog offers: "Power BI sales dashboard" and "Marketing performance dashboard". Review proposal stats.</t>
  </si>
  <si>
    <t xml:space="preserve">Ingestion with Airbyte</t>
  </si>
  <si>
    <t xml:space="preserve">Self-hosting Airbyte on EC2 with Docker, connectors, sync modes (full refresh, incremental append, incremental dedup), CDC concepts. Fivetran concepts and pricing model.</t>
  </si>
  <si>
    <t xml:space="preserve">Airbyte on an EC2 instance (Docker), syncing MySQL/Postgres into Snowflake.</t>
  </si>
  <si>
    <t xml:space="preserve">3–5 proposals. Include 'Airbyte / ELT setup' jobs where your DevOps skills help.</t>
  </si>
  <si>
    <t xml:space="preserve">Custom extractors with dlt</t>
  </si>
  <si>
    <t xml:space="preserve">dlt (data load tool): REST sources, pagination, rate limits, incremental cursors, schema evolution, secrets handling.</t>
  </si>
  <si>
    <t xml:space="preserve">dlt pipeline from a public API into Snowflake with incremental loading.</t>
  </si>
  <si>
    <t xml:space="preserve">Project 4: SaaS data ingestion</t>
  </si>
  <si>
    <t xml:space="preserve">P6</t>
  </si>
  <si>
    <t xml:space="preserve">Stripe data model (customers, subscriptions, invoices), CRM data basics.</t>
  </si>
  <si>
    <t xml:space="preserve">P6: generate Stripe test-mode data with a script, plus CRM and targets data; load all into Snowflake with dlt/Airbyte.</t>
  </si>
  <si>
    <t xml:space="preserve">Project 4: SaaS metrics</t>
  </si>
  <si>
    <t xml:space="preserve">MRR, churn, expansion, contraction, cohort retention, LTV definitions.</t>
  </si>
  <si>
    <t xml:space="preserve">P6 finish: dbt metric models, Power BI SaaS dashboard (MRR bridge, churn, cohort retention heatmap), README, case study.</t>
  </si>
  <si>
    <t xml:space="preserve">Add P6 to portfolio. 3–5 proposals.</t>
  </si>
  <si>
    <t xml:space="preserve">Orchestration with Airflow</t>
  </si>
  <si>
    <t xml:space="preserve">DAGs, operators, TaskFlow API, scheduling, retries, connections, Astronomer Cosmos for dbt. Deployment options on AWS: Airflow on EC2/ECS vs Amazon MWAA (managed, costs more). Dagster at a concept level.</t>
  </si>
  <si>
    <t xml:space="preserve">Airflow running P6 end to end on a daily schedule, locally first, ready to move to AWS in week 32.</t>
  </si>
  <si>
    <t xml:space="preserve">3–5 proposals. Airflow setup jobs are a good bridge from DevOps.</t>
  </si>
  <si>
    <t xml:space="preserve">AWS for data engineering</t>
  </si>
  <si>
    <t xml:space="preserve">Refresh from your Cloud Practitioner/SA study, applied to data: IAM roles and least privilege, S3 layouts and lifecycle rules, VPC and security groups, Secrets Manager, Lambda, ECS Fargate, CloudWatch logs and alarms, SNS.</t>
  </si>
  <si>
    <t xml:space="preserve">Hands-on: S3 buckets, IAM roles, a Lambda that lands API data in S3, CloudWatch alarm to SNS email. Budget alarm checked.</t>
  </si>
  <si>
    <t xml:space="preserve">3–5 proposals. Add AWS data skills to your profile; your Cloud Practitioner certificate supports them.</t>
  </si>
  <si>
    <t xml:space="preserve">Terraform for AWS data infrastructure</t>
  </si>
  <si>
    <t xml:space="preserve">Terraform AWS provider, modules, remote state in S3, variables per environment, terraform destroy discipline.</t>
  </si>
  <si>
    <t xml:space="preserve">Terraform module: S3 data buckets, IAM role for a Snowflake storage integration, SQS event notification for Snowpipe auto-ingest, Secrets Manager entries, budget alarm.</t>
  </si>
  <si>
    <t xml:space="preserve">Project 7: pipeline deployed on AWS</t>
  </si>
  <si>
    <t xml:space="preserve">P7</t>
  </si>
  <si>
    <t xml:space="preserve">Idempotent loads, backfills, incremental models on large tables. Running Airflow on AWS: ECS Fargate or EC2 for the portfolio, MWAA briefly for a demo then destroy it.</t>
  </si>
  <si>
    <t xml:space="preserve">P7: monthly NYC TLC Parquet files → S3 → Snowpipe → Snowflake → dbt incremental models, orchestrated by Airflow running on AWS, all created with Terraform.</t>
  </si>
  <si>
    <t xml:space="preserve">Project 5 delivery</t>
  </si>
  <si>
    <t xml:space="preserve">CloudWatch alarms and SNS/Slack alerts on failure, rerun safety, cost per run, terraform destroy and recreate.</t>
  </si>
  <si>
    <t xml:space="preserve">P7 finish: backfill of 12+ months, alerts, Power BI operations dashboard (trips, revenue, zones), AWS architecture diagram, monthly cost estimate, README, case study.</t>
  </si>
  <si>
    <t xml:space="preserve">Add P7 to portfolio as "production pipeline on AWS". 3–5 proposals.</t>
  </si>
  <si>
    <t xml:space="preserve">Project 6: MySQL → Snowflake migration</t>
  </si>
  <si>
    <t xml:space="preserve">P8</t>
  </si>
  <si>
    <t xml:space="preserve">Schema and data type mapping, initial load strategies, incremental sync, reconciliation (row counts, checksums, aggregates). AWS DMS at a concept level.</t>
  </si>
  <si>
    <t xml:space="preserve">P8: migrate a realistic MySQL database running on Amazon RDS into Snowflake (Sakila scaled up or the MySQL employees sample).</t>
  </si>
  <si>
    <t xml:space="preserve">Draft a fixed-price offer: 'MySQL to Snowflake/BigQuery migration'. It uses your existing reviews.</t>
  </si>
  <si>
    <t xml:space="preserve">Project 6 delivery + mid-year review</t>
  </si>
  <si>
    <t xml:space="preserve">Cutover planning, runbooks, validation reports.</t>
  </si>
  <si>
    <t xml:space="preserve">P8 finish: cutover runbook, validation report, cost comparison, case study.</t>
  </si>
  <si>
    <t xml:space="preserve">Publish the migration offer in the Project Catalog ("MySQL / RDS to Snowflake"). Mid-year review of rate and win rate.</t>
  </si>
  <si>
    <t xml:space="preserve">Kafka fundamentals</t>
  </si>
  <si>
    <t xml:space="preserve">Topics, partitions, consumer groups, offsets, delivery semantics. Run Kafka or Redpanda in Docker. Python producers and consumers.</t>
  </si>
  <si>
    <t xml:space="preserve">Producer/consumer exercise with an order-event generator.</t>
  </si>
  <si>
    <t xml:space="preserve">3–5 proposals. Keep 1 active client if possible.</t>
  </si>
  <si>
    <t xml:space="preserve">CDC with Debezium</t>
  </si>
  <si>
    <t xml:space="preserve">P9</t>
  </si>
  <si>
    <t xml:space="preserve">MySQL binlog configuration (your strength), Kafka Connect, Debezium MySQL connector, schema registry basics.</t>
  </si>
  <si>
    <t xml:space="preserve">Debezium capturing inserts, updates and deletes from MySQL into Kafka topics.</t>
  </si>
  <si>
    <t xml:space="preserve">Streams into the warehouse</t>
  </si>
  <si>
    <t xml:space="preserve">Snowflake Kafka connector and Snowpipe Streaming, Dynamic Tables, late-arriving data, deduplication. AWS options at a concept level: Amazon MSK Serverless, Kinesis Data Streams, Firehose.</t>
  </si>
  <si>
    <t xml:space="preserve">Kafka topics landing in Snowflake with Dynamic Tables on top.</t>
  </si>
  <si>
    <t xml:space="preserve">Project 7: real-time CDC build</t>
  </si>
  <si>
    <t xml:space="preserve">End-to-end latency, ordering, handling deletes.</t>
  </si>
  <si>
    <t xml:space="preserve">P9: order-app simulator in MySQL → Debezium → Kafka → Snowflake → Dynamic Tables/dbt.</t>
  </si>
  <si>
    <t xml:space="preserve">Project 7 delivery</t>
  </si>
  <si>
    <t xml:space="preserve">Measuring latency, failure and replay testing.</t>
  </si>
  <si>
    <t xml:space="preserve">P9 finish: near-real-time dashboard, latency measurements, failure test notes, README, case study.</t>
  </si>
  <si>
    <t xml:space="preserve">Add P9 to portfolio. Add 'real-time / CDC' to your profile.</t>
  </si>
  <si>
    <t xml:space="preserve">Buffer &amp; catch-up</t>
  </si>
  <si>
    <t xml:space="preserve">Catch up on anything behind from Kafka, CDC and Snowflake streaming.</t>
  </si>
  <si>
    <t xml:space="preserve">Fix loose ends in P9. Add a near-real-time ops page in Power BI (DirectQuery) on top of it.</t>
  </si>
  <si>
    <t xml:space="preserve">Spark &amp; AWS Glue fundamentals</t>
  </si>
  <si>
    <t xml:space="preserve">P10</t>
  </si>
  <si>
    <t xml:space="preserve">PySpark DataFrames, partitions, shuffles, joins, caching, file formats. AWS Glue jobs and Glue Data Catalog, crawlers, Athena, EMR Serverless at a concept level.</t>
  </si>
  <si>
    <t xml:space="preserve">PySpark exercises locally, then the same job as an AWS Glue job reading from S3.</t>
  </si>
  <si>
    <t xml:space="preserve">Project 8: serverless lakehouse on AWS</t>
  </si>
  <si>
    <t xml:space="preserve">Apache Iceberg tables on S3, partitioning, small-files problem, Athena query costs (bytes scanned), Lake Formation basics.</t>
  </si>
  <si>
    <t xml:space="preserve">P10: Glue PySpark jobs process multiple years of NYC taxi data into Iceberg tables on S3; query with Athena; orchestrate with Step Functions or Airflow; Terraform for everything.</t>
  </si>
  <si>
    <t xml:space="preserve">Project 8 delivery + Structured Streaming</t>
  </si>
  <si>
    <t xml:space="preserve">Spark Structured Streaming basics, reading from Kafka. Comparing Athena cost vs Snowflake for the same queries.</t>
  </si>
  <si>
    <t xml:space="preserve">P10 finish: Athena dashboard queries, cost comparison with Snowflake, small Structured Streaming job reading P9's topic. README, case study.</t>
  </si>
  <si>
    <t xml:space="preserve">Add P10 to portfolio. Target AWS Glue / Athena jobs, which are common on Upwork.</t>
  </si>
  <si>
    <t xml:space="preserve">Lakehouse &amp; open table formats</t>
  </si>
  <si>
    <t xml:space="preserve">Iceberg and Delta Lake, Iceberg tables in Snowflake and BigQuery, when a lakehouse makes sense vs a warehouse.</t>
  </si>
  <si>
    <t xml:space="preserve">Write a comparison article (LinkedIn or blog) as a portfolio piece.</t>
  </si>
  <si>
    <t xml:space="preserve">Share the article on LinkedIn. 3–5 proposals.</t>
  </si>
  <si>
    <t xml:space="preserve">Catch up. Start AWS Certified Data Engineer – Associate study (30 min/day from now): Kinesis, Glue, Redshift, Lake Formation, security.</t>
  </si>
  <si>
    <t xml:space="preserve">Retrospective. Update the Skills sheet and GitHub profile.</t>
  </si>
  <si>
    <t xml:space="preserve">Review rate: move to $30–35/hr if you have 3+ good reviews in the niche.</t>
  </si>
  <si>
    <t xml:space="preserve">Warehouse cost &amp; performance</t>
  </si>
  <si>
    <t xml:space="preserve">P11</t>
  </si>
  <si>
    <t xml:space="preserve">Snowflake query profile, warehouse sizing, clustering keys, caching, resource monitors. BigQuery bytes-scanned optimization and slots.</t>
  </si>
  <si>
    <t xml:space="preserve">Cost baseline measurements on P7.</t>
  </si>
  <si>
    <t xml:space="preserve">3–5 proposals. Target 'reduce Snowflake/BigQuery cost' jobs.</t>
  </si>
  <si>
    <t xml:space="preserve">Project 9: cost audit</t>
  </si>
  <si>
    <t xml:space="preserve">Writing an audit report for a non-technical client.</t>
  </si>
  <si>
    <t xml:space="preserve">P11: deliberately inefficient setup → measure → optimize → before/after report with credits saved.</t>
  </si>
  <si>
    <t xml:space="preserve">Turn P11 into a fixed-price 'warehouse cost audit' offer.</t>
  </si>
  <si>
    <t xml:space="preserve">Data observability</t>
  </si>
  <si>
    <t xml:space="preserve">Elementary (dbt package), freshness and volume anomalies, alerting. Great Expectations at a concept level.</t>
  </si>
  <si>
    <t xml:space="preserve">Add Elementary monitoring to P2 and P7.</t>
  </si>
  <si>
    <t xml:space="preserve">Project 10: e-commerce starter kit</t>
  </si>
  <si>
    <t xml:space="preserve">P12</t>
  </si>
  <si>
    <t xml:space="preserve">Shopify data model (orders, line items, customers, refunds). Create a free Shopify development store for test data.</t>
  </si>
  <si>
    <t xml:space="preserve">P12: reusable dbt project template for Shopify-style stores, standard marts, plus a Power BI template (.pbit) and a Looker Studio template.</t>
  </si>
  <si>
    <t xml:space="preserve">Project 10: productize it</t>
  </si>
  <si>
    <t xml:space="preserve">Packaging a service: scope, tiers, timelines.</t>
  </si>
  <si>
    <t xml:space="preserve">P12 finish: README, setup guide, demo video showing data flowing from Shopify to the dashboards.</t>
  </si>
  <si>
    <t xml:space="preserve">Publish a Project Catalog offer with 3 fixed-price tiers based on P12.</t>
  </si>
  <si>
    <t xml:space="preserve">Semantic layer &amp; BI at scale</t>
  </si>
  <si>
    <t xml:space="preserve">dbt Semantic Layer, one metric definition used by several tools, Power BI incremental refresh and aggregations, Looker/LookML concepts, writing a metrics definitions document with stakeholders.</t>
  </si>
  <si>
    <t xml:space="preserve">Metrics definitions doc and semantic models for P2; connect P4 to shared metric definitions where possible.</t>
  </si>
  <si>
    <t xml:space="preserve">Project 11: Redshift on AWS</t>
  </si>
  <si>
    <t xml:space="preserve">P13</t>
  </si>
  <si>
    <t xml:space="preserve">Redshift Serverless, distribution and sort keys, COPY from S3, Redshift Spectrum on your P10 Iceberg/S3 data, differences from Snowflake.</t>
  </si>
  <si>
    <t xml:space="preserve">P13: port P2 to Redshift Serverless with Terraform (use trial credits), query P10 data through Spectrum, document the differences.</t>
  </si>
  <si>
    <t xml:space="preserve">Add Redshift to profile skills with P13 as proof.</t>
  </si>
  <si>
    <t xml:space="preserve">Secure CI/CD to AWS</t>
  </si>
  <si>
    <t xml:space="preserve">GitHub Actions with OIDC to AWS (no stored keys), Terraform plan/apply in CI, Terraform Snowflake provider, dev/prod environments.</t>
  </si>
  <si>
    <t xml:space="preserve">CI pipeline that deploys the P7 infrastructure and dbt to dev and prod, plus a Terraform module that sets up Snowflake roles and warehouses for a new client.</t>
  </si>
  <si>
    <t xml:space="preserve">Consulting skills</t>
  </si>
  <si>
    <t xml:space="preserve">Discovery calls, scoping, estimating, statements of work, handover documentation.</t>
  </si>
  <si>
    <t xml:space="preserve">Discovery-call checklist, estimate template, handover template.</t>
  </si>
  <si>
    <t xml:space="preserve">Refresh all proposal templates using what worked so far.</t>
  </si>
  <si>
    <t xml:space="preserve">AWS exam preparation</t>
  </si>
  <si>
    <t xml:space="preserve">AWS Data Engineer – Associate practice exams and weak-area review (Kinesis, Glue, Redshift, Lake Formation, security).</t>
  </si>
  <si>
    <t xml:space="preserve">Two full practice exams; review every wrong answer.</t>
  </si>
  <si>
    <t xml:space="preserve">Keep active clients happy first. 3 proposals.</t>
  </si>
  <si>
    <t xml:space="preserve">AWS certification &amp; review</t>
  </si>
  <si>
    <t xml:space="preserve">Final review, then take the exam. Start SnowPro Core study.</t>
  </si>
  <si>
    <t xml:space="preserve">Take the AWS Certified Data Engineer – Associate exam. Retrospective. Book SnowPro and dbt exams for week 63.</t>
  </si>
  <si>
    <t xml:space="preserve">Add the AWS certificate to your profile. Rate review: move to $40–45/hr if win rate holds.</t>
  </si>
  <si>
    <t xml:space="preserve">Capstone design</t>
  </si>
  <si>
    <t xml:space="preserve">P14</t>
  </si>
  <si>
    <t xml:space="preserve">Architecture decision records, requirements writing.</t>
  </si>
  <si>
    <t xml:space="preserve">P14: requirements, architecture diagram, Terraform for all AWS and Snowflake environments.</t>
  </si>
  <si>
    <t xml:space="preserve">3–5 proposals. Keep active clients happy first.</t>
  </si>
  <si>
    <t xml:space="preserve">Capstone build I</t>
  </si>
  <si>
    <t xml:space="preserve">—</t>
  </si>
  <si>
    <t xml:space="preserve">P14: batch ingestion (dlt/Airbyte) plus CDC stream; dbt staging and marts.</t>
  </si>
  <si>
    <t xml:space="preserve">Capstone build II</t>
  </si>
  <si>
    <t xml:space="preserve">P14: Airflow on AWS, GitHub Actions with OIDC deploys, Elementary monitoring, CloudWatch alerts, dashboard.</t>
  </si>
  <si>
    <t xml:space="preserve">Capstone executive dashboard</t>
  </si>
  <si>
    <t xml:space="preserve">Executive reporting: one-page KPI overview, targets vs actuals, alerts on thresholds, sharing with non-technical users.</t>
  </si>
  <si>
    <t xml:space="preserve">P14: Power BI executive dashboard (sales, marketing and operations pages) on the capstone warehouse, with row-level security and scheduled refresh.</t>
  </si>
  <si>
    <t xml:space="preserve">Capstone delivery</t>
  </si>
  <si>
    <t xml:space="preserve">Recording a clear walkthrough video.</t>
  </si>
  <si>
    <t xml:space="preserve">P14 finish: runbook, docs, 5-minute walkthrough video that opens with the executive dashboard, case study.</t>
  </si>
  <si>
    <t xml:space="preserve">Make P14 the first item in your portfolio.</t>
  </si>
  <si>
    <t xml:space="preserve">Certification week</t>
  </si>
  <si>
    <t xml:space="preserve">Final review.</t>
  </si>
  <si>
    <t xml:space="preserve">Take SnowPro Core and the dbt Analytics Engineering exam.</t>
  </si>
  <si>
    <t xml:space="preserve">Add certifications to your profile.</t>
  </si>
  <si>
    <t xml:space="preserve">Launch &amp; next-stage plan</t>
  </si>
  <si>
    <t xml:space="preserve">Portfolio polish, update every case study with results. Full retrospective. Write the plan for the next stage.</t>
  </si>
  <si>
    <t xml:space="preserve">Raise your rate to $45–50/hr for new clients. Set targets for the next stage.</t>
  </si>
  <si>
    <t xml:space="preserve">Totals</t>
  </si>
  <si>
    <t xml:space="preserve">Portfolio Projects</t>
  </si>
  <si>
    <t xml:space="preserve">One row per project. Planned weeks and stack come from the roadmap; the yellow columns are yours.</t>
  </si>
  <si>
    <t xml:space="preserve">ID</t>
  </si>
  <si>
    <t xml:space="preserve">Planned weeks</t>
  </si>
  <si>
    <t xml:space="preserve">Stack</t>
  </si>
  <si>
    <t xml:space="preserve">Started</t>
  </si>
  <si>
    <t xml:space="preserve">Finished</t>
  </si>
  <si>
    <t xml:space="preserve">GitHub link</t>
  </si>
  <si>
    <t xml:space="preserve">Case study</t>
  </si>
  <si>
    <t xml:space="preserve">On Upwork portfolio</t>
  </si>
  <si>
    <t xml:space="preserve">Key result (with a number)</t>
  </si>
  <si>
    <t xml:space="preserve">Done when</t>
  </si>
  <si>
    <t xml:space="preserve">Sakila: from MySQL to a star schema</t>
  </si>
  <si>
    <t xml:space="preserve">3–6</t>
  </si>
  <si>
    <t xml:space="preserve">MySQL, DuckDB, dbt-duckdb, Metabase (Docker)</t>
  </si>
  <si>
    <t xml:space="preserve">In progress</t>
  </si>
  <si>
    <t xml:space="preserve">github.com/your-user/sakila-analytics</t>
  </si>
  <si>
    <t xml:space="preserve">No</t>
  </si>
  <si>
    <t xml:space="preserve">Example: dashboard answers 5 questions; 42 dbt tests passing</t>
  </si>
  <si>
    <t xml:space="preserve">dbt build passes with tests on every primary key; dashboard answers 5 business questions</t>
  </si>
  <si>
    <t xml:space="preserve">Olist marketplace analytics on Snowflake</t>
  </si>
  <si>
    <t xml:space="preserve">7–11, 16</t>
  </si>
  <si>
    <t xml:space="preserve">Snowflake, dbt Core, GitHub Actions, SQLFluff, Metabase</t>
  </si>
  <si>
    <t xml:space="preserve">CI runs on every pull request; dashboard shows revenue, AOV, delivery SLA, seller scores</t>
  </si>
  <si>
    <t xml:space="preserve">GA4 marketing analytics on BigQuery (Google Cloud)</t>
  </si>
  <si>
    <t xml:space="preserve">12–15</t>
  </si>
  <si>
    <t xml:space="preserve">BigQuery, dbt-bigquery, Looker Studio, Docker, Cloud Run jobs, Cloud Scheduler, Secret Manager</t>
  </si>
  <si>
    <t xml:space="preserve">Funnel from session to purchase by channel; dbt runs daily in Cloud Run without your laptop; documented bytes-scanned savings</t>
  </si>
  <si>
    <t xml:space="preserve">Sales analytics dashboard in Power BI</t>
  </si>
  <si>
    <t xml:space="preserve">18–21</t>
  </si>
  <si>
    <t xml:space="preserve">Power BI Desktop and Service, DAX, Snowflake connector, row-level security, scheduled refresh</t>
  </si>
  <si>
    <t xml:space="preserve">A non-technical person can answer 5 business questions from it in under a minute; refresh runs on schedule</t>
  </si>
  <si>
    <t xml:space="preserve">Marketing performance dashboard</t>
  </si>
  <si>
    <t xml:space="preserve">22–23</t>
  </si>
  <si>
    <t xml:space="preserve">BigQuery, dbt, Looker Studio, Power BI</t>
  </si>
  <si>
    <t xml:space="preserve">Spend, sessions and revenue reconcile by channel and day; dashboard ranks campaigns by ROAS</t>
  </si>
  <si>
    <t xml:space="preserve">SaaS revenue metrics (MRR, churn, LTV)</t>
  </si>
  <si>
    <t xml:space="preserve">27–28</t>
  </si>
  <si>
    <t xml:space="preserve">Python, dlt, Airbyte, Snowflake, dbt, Airflow, Power BI</t>
  </si>
  <si>
    <t xml:space="preserve">MRR bridge (new, expansion, contraction, churn) reconciles to raw invoices</t>
  </si>
  <si>
    <t xml:space="preserve">NYC Taxi pipeline deployed on AWS</t>
  </si>
  <si>
    <t xml:space="preserve">32–33</t>
  </si>
  <si>
    <t xml:space="preserve">Terraform, S3, SQS + Snowpipe, Snowflake, dbt incremental, Airflow on ECS Fargate/EC2 (MWAA demo), CloudWatch, SNS alerts</t>
  </si>
  <si>
    <t xml:space="preserve">terraform apply creates everything from scratch; reruns are idempotent; a failed run sends an alert</t>
  </si>
  <si>
    <t xml:space="preserve">MySQL to Snowflake migration</t>
  </si>
  <si>
    <t xml:space="preserve">34–35</t>
  </si>
  <si>
    <t xml:space="preserve">Amazon RDS for MySQL, Airbyte or dlt, Snowflake, Python reconciliation scripts</t>
  </si>
  <si>
    <t xml:space="preserve">Row counts and checksums match for every table; runbook tested once end to end</t>
  </si>
  <si>
    <t xml:space="preserve">Real-time orders with CDC</t>
  </si>
  <si>
    <t xml:space="preserve">37–40</t>
  </si>
  <si>
    <t xml:space="preserve">MySQL binlog, Debezium, Kafka/Redpanda, Snowflake Kafka connector, Dynamic Tables, dbt</t>
  </si>
  <si>
    <t xml:space="preserve">Inserts, updates and deletes appear in Snowflake within target latency; replay after failure works</t>
  </si>
  <si>
    <t xml:space="preserve">Serverless lakehouse on AWS (Glue, Athena, Iceberg)</t>
  </si>
  <si>
    <t xml:space="preserve">42–44</t>
  </si>
  <si>
    <t xml:space="preserve">PySpark, AWS Glue jobs and Data Catalog, S3, Apache Iceberg, Athena, Step Functions or Airflow, Terraform</t>
  </si>
  <si>
    <t xml:space="preserve">Glue jobs run on the full dataset; Athena queries use partition pruning; costs documented</t>
  </si>
  <si>
    <t xml:space="preserve">Warehouse cost audit</t>
  </si>
  <si>
    <t xml:space="preserve">47–48</t>
  </si>
  <si>
    <t xml:space="preserve">Snowflake query history, query profile, resource monitors, dbt</t>
  </si>
  <si>
    <t xml:space="preserve">Measured cost reduction with evidence for each change</t>
  </si>
  <si>
    <t xml:space="preserve">E-commerce analytics starter kit</t>
  </si>
  <si>
    <t xml:space="preserve">50–51</t>
  </si>
  <si>
    <t xml:space="preserve">Shopify API, dlt, Snowflake or BigQuery, dbt template, Power BI template (.pbit), Looker Studio template</t>
  </si>
  <si>
    <t xml:space="preserve">A new store can be set up from the template in one day</t>
  </si>
  <si>
    <t xml:space="preserve">Redshift on AWS</t>
  </si>
  <si>
    <t xml:space="preserve">53</t>
  </si>
  <si>
    <t xml:space="preserve">Redshift Serverless, Redshift Spectrum, S3, dbt-redshift, Terraform</t>
  </si>
  <si>
    <t xml:space="preserve">dbt build passes on Redshift with the same tests as P2</t>
  </si>
  <si>
    <t xml:space="preserve">Capstone: modern data platform on AWS</t>
  </si>
  <si>
    <t xml:space="preserve">58–62</t>
  </si>
  <si>
    <t xml:space="preserve">Terraform, AWS (S3, ECS/MWAA, Secrets Manager, CloudWatch), Snowflake, dlt/Airbyte, Debezium/Kafka, dbt, Airflow, GitHub Actions with OIDC, Elementary, Power BI</t>
  </si>
  <si>
    <t xml:space="preserve">Someone else could run it from your README; video explains business value in plain words</t>
  </si>
  <si>
    <t xml:space="preserve">Skills Self-Assessment</t>
  </si>
  <si>
    <t xml:space="preserve">Rate yourself 1–5 at the end of each quarter (1 = never used, 3 = can do with docs, 5 = could teach it).</t>
  </si>
  <si>
    <t xml:space="preserve">Area</t>
  </si>
  <si>
    <t xml:space="preserve">Skill</t>
  </si>
  <si>
    <t xml:space="preserve">Target</t>
  </si>
  <si>
    <t xml:space="preserve">Check 1 (wk 16)</t>
  </si>
  <si>
    <t xml:space="preserve">Check 2 (wk 32)</t>
  </si>
  <si>
    <t xml:space="preserve">Check 3 (wk 48)</t>
  </si>
  <si>
    <t xml:space="preserve">Check 4 (wk 64)</t>
  </si>
  <si>
    <t xml:space="preserve">Evidence (project / link)</t>
  </si>
  <si>
    <t xml:space="preserve">SQL</t>
  </si>
  <si>
    <t xml:space="preserve">Window functions &amp; analytical patterns</t>
  </si>
  <si>
    <t xml:space="preserve">Query performance in columnar warehouses</t>
  </si>
  <si>
    <t xml:space="preserve">Modeling</t>
  </si>
  <si>
    <t xml:space="preserve">Kimball dimensional modeling</t>
  </si>
  <si>
    <t xml:space="preserve">SCD &amp; snapshots</t>
  </si>
  <si>
    <t xml:space="preserve">Python</t>
  </si>
  <si>
    <t xml:space="preserve">pandas / polars</t>
  </si>
  <si>
    <t xml:space="preserve">API extraction, pagination, retries</t>
  </si>
  <si>
    <t xml:space="preserve">Testing with pytest</t>
  </si>
  <si>
    <t xml:space="preserve">dbt</t>
  </si>
  <si>
    <t xml:space="preserve">Models, sources, refs, materializations</t>
  </si>
  <si>
    <t xml:space="preserve">Incremental models</t>
  </si>
  <si>
    <t xml:space="preserve">Macros &amp; Jinja</t>
  </si>
  <si>
    <t xml:space="preserve">Tests, unit tests, contracts</t>
  </si>
  <si>
    <t xml:space="preserve">CI/CD with GitHub Actions</t>
  </si>
  <si>
    <t xml:space="preserve">Warehouse</t>
  </si>
  <si>
    <t xml:space="preserve">Snowflake (main)</t>
  </si>
  <si>
    <t xml:space="preserve">BigQuery (second)</t>
  </si>
  <si>
    <t xml:space="preserve">Redshift (working level)</t>
  </si>
  <si>
    <t xml:space="preserve">Cost &amp; performance optimization</t>
  </si>
  <si>
    <t xml:space="preserve">Ingestion</t>
  </si>
  <si>
    <t xml:space="preserve">Airbyte</t>
  </si>
  <si>
    <t xml:space="preserve">dlt</t>
  </si>
  <si>
    <t xml:space="preserve">Snowpipe / COPY INTO / stages</t>
  </si>
  <si>
    <t xml:space="preserve">Orchestration</t>
  </si>
  <si>
    <t xml:space="preserve">Airflow</t>
  </si>
  <si>
    <t xml:space="preserve">Streaming</t>
  </si>
  <si>
    <t xml:space="preserve">Snowflake streaming &amp; Dynamic Tables</t>
  </si>
  <si>
    <t xml:space="preserve">Big data</t>
  </si>
  <si>
    <t xml:space="preserve">PySpark</t>
  </si>
  <si>
    <t xml:space="preserve">Iceberg / Delta Lake</t>
  </si>
  <si>
    <t xml:space="preserve">Quality</t>
  </si>
  <si>
    <t xml:space="preserve">Elementary / observability</t>
  </si>
  <si>
    <t xml:space="preserve">Infra</t>
  </si>
  <si>
    <t xml:space="preserve">Docker &amp; Linux (existing strength)</t>
  </si>
  <si>
    <t xml:space="preserve">Consulting</t>
  </si>
  <si>
    <t xml:space="preserve">Scoping, estimates, proposals</t>
  </si>
  <si>
    <t xml:space="preserve">Writing case studies</t>
  </si>
  <si>
    <t xml:space="preserve">Cloud (AWS)</t>
  </si>
  <si>
    <t xml:space="preserve">IAM, S3, VPC basics, Secrets Manager</t>
  </si>
  <si>
    <t xml:space="preserve">Compute for pipelines: Lambda, ECS Fargate, MWAA</t>
  </si>
  <si>
    <t xml:space="preserve">Glue, Athena, Lake Formation</t>
  </si>
  <si>
    <t xml:space="preserve">CloudWatch, SNS, cost &amp; budgets</t>
  </si>
  <si>
    <t xml:space="preserve">Cloud (GCP)</t>
  </si>
  <si>
    <t xml:space="preserve">Service accounts, GCS, Cloud Run, Scheduler</t>
  </si>
  <si>
    <t xml:space="preserve">Terraform (AWS + Snowflake providers)</t>
  </si>
  <si>
    <t xml:space="preserve">CI/CD with GitHub Actions OIDC</t>
  </si>
  <si>
    <t xml:space="preserve">BI</t>
  </si>
  <si>
    <t xml:space="preserve">Power BI data modeling &amp; Power Query</t>
  </si>
  <si>
    <t xml:space="preserve">DAX (measures, time intelligence)</t>
  </si>
  <si>
    <t xml:space="preserve">Power BI Service: RLS, refresh, sharing</t>
  </si>
  <si>
    <t xml:space="preserve">Looker Studio</t>
  </si>
  <si>
    <t xml:space="preserve">Metabase (self-hosted)</t>
  </si>
  <si>
    <t xml:space="preserve">Metric definitions &amp; semantic layer</t>
  </si>
  <si>
    <t xml:space="preserve">Business</t>
  </si>
  <si>
    <t xml:space="preserve">Sales &amp; e-commerce KPIs</t>
  </si>
  <si>
    <t xml:space="preserve">Marketing analytics (ROAS, CAC, attribution)</t>
  </si>
  <si>
    <t xml:space="preserve">SaaS metrics (MRR, churn, cohorts)</t>
  </si>
  <si>
    <t xml:space="preserve">Upwork Pipeline</t>
  </si>
  <si>
    <t xml:space="preserve">One row per proposal. Row 5 is an example of the format; start your entries from row 6.</t>
  </si>
  <si>
    <t xml:space="preserve">Date sent</t>
  </si>
  <si>
    <t xml:space="preserve">Job title</t>
  </si>
  <si>
    <t xml:space="preserve">Client country</t>
  </si>
  <si>
    <t xml:space="preserve">Category</t>
  </si>
  <si>
    <t xml:space="preserve">Type</t>
  </si>
  <si>
    <t xml:space="preserve">Connects</t>
  </si>
  <si>
    <t xml:space="preserve">Rate / budget ($)</t>
  </si>
  <si>
    <t xml:space="preserve">Template used</t>
  </si>
  <si>
    <t xml:space="preserve">Interview</t>
  </si>
  <si>
    <t xml:space="preserve">Contract value ($)</t>
  </si>
  <si>
    <t xml:space="preserve">Notes</t>
  </si>
  <si>
    <t xml:space="preserve">Build dbt models on Snowflake for Shopify data</t>
  </si>
  <si>
    <t xml:space="preserve">USA</t>
  </si>
  <si>
    <t xml:space="preserve">dbt / Snowflake</t>
  </si>
  <si>
    <t xml:space="preserve">Fixed</t>
  </si>
  <si>
    <t xml:space="preserve">dbt fix</t>
  </si>
  <si>
    <t xml:space="preserve">Yes</t>
  </si>
  <si>
    <t xml:space="preserve">Example row. Client chose a cheaper bid.</t>
  </si>
  <si>
    <t xml:space="preserve">Monthly Review</t>
  </si>
  <si>
    <t xml:space="preserve">Month columns are calculated from the start date. Proposals and hours are pulled automatically; income and reflections are yours.</t>
  </si>
  <si>
    <t xml:space="preserve">Month #</t>
  </si>
  <si>
    <t xml:space="preserve">Month starting</t>
  </si>
  <si>
    <t xml:space="preserve">Hours logged</t>
  </si>
  <si>
    <t xml:space="preserve">Proposals</t>
  </si>
  <si>
    <t xml:space="preserve">Hires</t>
  </si>
  <si>
    <t xml:space="preserve">Niche income ($)</t>
  </si>
  <si>
    <t xml:space="preserve">Total freelance income ($)</t>
  </si>
  <si>
    <t xml:space="preserve">Current rate ($/hr)</t>
  </si>
  <si>
    <t xml:space="preserve">What worked</t>
  </si>
  <si>
    <t xml:space="preserve">What to change next month</t>
  </si>
  <si>
    <t xml:space="preserve">Example: finished P1 on time; DBA contract covered costs.</t>
  </si>
  <si>
    <t xml:space="preserve">Total</t>
  </si>
  <si>
    <t xml:space="preserve">Note: the Dashboard reads the last month where column H has a number.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</si>
</sst>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 mmm\ yyyy"/>
    <numFmt numFmtId="166" formatCode="0"/>
    <numFmt numFmtId="167" formatCode="\$#,##0"/>
    <numFmt numFmtId="168" formatCode="0%"/>
    <numFmt numFmtId="169" formatCode="0.0%"/>
    <numFmt numFmtId="170" formatCode="0.0"/>
    <numFmt numFmtId="171" formatCode="dd\ mmm\ yy"/>
    <numFmt numFmtId="172" formatCode="mmm\ 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E7D7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9DB"/>
        <bgColor rgb="FFFFF1D6"/>
      </patternFill>
    </fill>
    <fill>
      <patternFill patternType="solid">
        <fgColor rgb="FF1F3A5F"/>
        <bgColor rgb="FF333333"/>
      </patternFill>
    </fill>
    <fill>
      <patternFill patternType="solid">
        <fgColor rgb="FFDCEBF7"/>
        <bgColor rgb="FFE0F2F1"/>
      </patternFill>
    </fill>
    <fill>
      <patternFill patternType="solid">
        <fgColor rgb="FFE3F2E1"/>
        <bgColor rgb="FFE0F2F1"/>
      </patternFill>
    </fill>
    <fill>
      <patternFill patternType="solid">
        <fgColor rgb="FFFFF9C4"/>
        <bgColor rgb="FFFFF9DB"/>
      </patternFill>
    </fill>
    <fill>
      <patternFill patternType="solid">
        <fgColor rgb="FFFFF1D6"/>
        <bgColor rgb="FFFFF9DB"/>
      </patternFill>
    </fill>
    <fill>
      <patternFill patternType="solid">
        <fgColor rgb="FFF3E5F5"/>
        <bgColor rgb="FFFCE4E4"/>
      </patternFill>
    </fill>
    <fill>
      <patternFill patternType="solid">
        <fgColor rgb="FFFCE4E4"/>
        <bgColor rgb="FFF3E5F5"/>
      </patternFill>
    </fill>
    <fill>
      <patternFill patternType="solid">
        <fgColor rgb="FFE0F2F1"/>
        <bgColor rgb="FFE3F2E1"/>
      </patternFill>
    </fill>
    <fill>
      <patternFill patternType="solid">
        <fgColor rgb="FFF2F2F2"/>
        <bgColor rgb="FFE0F2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Arial"/>
        <charset val="1"/>
        <family val="0"/>
        <b val="1"/>
        <color rgb="FFC0392B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BF7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E1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BBDEFB"/>
        </patternFill>
      </fill>
    </dxf>
    <dxf>
      <fill>
        <patternFill>
          <bgColor rgb="FFFFCDD2"/>
        </patternFill>
      </fill>
    </dxf>
    <dxf>
      <font>
        <name val="Arial"/>
        <charset val="1"/>
        <family val="0"/>
        <b val="1"/>
      </font>
      <fill>
        <patternFill>
          <bgColor rgb="FFFFD54F"/>
        </patternFill>
      </fill>
    </dxf>
    <dxf>
      <fill>
        <patternFill>
          <bgColor rgb="FFFFE0B2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1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E6C9"/>
      <rgbColor rgb="FF888888"/>
      <rgbColor rgb="FFF2F2F2"/>
      <rgbColor rgb="FF993366"/>
      <rgbColor rgb="FFFFF9C4"/>
      <rgbColor rgb="FFE0F2F1"/>
      <rgbColor rgb="FF660066"/>
      <rgbColor rgb="FFFF8080"/>
      <rgbColor rgb="FF0066CC"/>
      <rgbColor rgb="FFC9D3DC"/>
      <rgbColor rgb="FF000080"/>
      <rgbColor rgb="FFFF00FF"/>
      <rgbColor rgb="FFFCE4E4"/>
      <rgbColor rgb="FF00FFFF"/>
      <rgbColor rgb="FF800080"/>
      <rgbColor rgb="FF800000"/>
      <rgbColor rgb="FF008080"/>
      <rgbColor rgb="FF0000FF"/>
      <rgbColor rgb="FF00CCFF"/>
      <rgbColor rgb="FFDCEBF7"/>
      <rgbColor rgb="FFE3F2E1"/>
      <rgbColor rgb="FFFFF9DB"/>
      <rgbColor rgb="FFBBDEFB"/>
      <rgbColor rgb="FFFFCDD2"/>
      <rgbColor rgb="FFF3E5F5"/>
      <rgbColor rgb="FFFFE0B2"/>
      <rgbColor rgb="FF3366FF"/>
      <rgbColor rgb="FF33CCCC"/>
      <rgbColor rgb="FF99CC00"/>
      <rgbColor rgb="FFFFD54F"/>
      <rgbColor rgb="FFFF9900"/>
      <rgbColor rgb="FFFF6600"/>
      <rgbColor rgb="FF555555"/>
      <rgbColor rgb="FF969696"/>
      <rgbColor rgb="FF1F3A5F"/>
      <rgbColor rgb="FF2E7D7A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46293</v>
      </c>
    </row>
    <row r="6" customFormat="false" ht="15" hidden="false" customHeight="false" outlineLevel="0" collapsed="false">
      <c r="A6" s="4" t="s">
        <v>4</v>
      </c>
      <c r="B6" s="6" t="n">
        <v>20</v>
      </c>
    </row>
    <row r="7" customFormat="false" ht="15" hidden="false" customHeight="false" outlineLevel="0" collapsed="false">
      <c r="A7" s="4" t="s">
        <v>5</v>
      </c>
      <c r="B7" s="7" t="n">
        <v>5000</v>
      </c>
    </row>
    <row r="8" customFormat="false" ht="15" hidden="false" customHeight="false" outlineLevel="0" collapsed="false">
      <c r="A8" s="4" t="s">
        <v>6</v>
      </c>
      <c r="B8" s="8" t="n">
        <f aca="true">TODAY()</f>
        <v>46288</v>
      </c>
    </row>
    <row r="10" customFormat="false" ht="15" hidden="false" customHeight="false" outlineLevel="0" collapsed="false">
      <c r="A10" s="3" t="s">
        <v>7</v>
      </c>
      <c r="D10" s="3" t="s">
        <v>8</v>
      </c>
    </row>
    <row r="11" customFormat="false" ht="15" hidden="false" customHeight="false" outlineLevel="0" collapsed="false">
      <c r="A11" s="4" t="s">
        <v>9</v>
      </c>
      <c r="B11" s="9" t="n">
        <f aca="false">MAX(1,MIN(64,INT(($B$8-$B$5)/7)+1))</f>
        <v>1</v>
      </c>
      <c r="D11" s="4" t="s">
        <v>10</v>
      </c>
      <c r="E11" s="9" t="n">
        <f aca="false">COUNTA('Upwork Pipeline'!$A$6:$A$505)</f>
        <v>0</v>
      </c>
    </row>
    <row r="12" customFormat="false" ht="15" hidden="false" customHeight="false" outlineLevel="0" collapsed="false">
      <c r="A12" s="4" t="s">
        <v>11</v>
      </c>
      <c r="B12" s="9" t="n">
        <f aca="false">COUNTIF('Weekly Plan'!$G$5:$G$68,"Done")</f>
        <v>1</v>
      </c>
      <c r="D12" s="4" t="s">
        <v>12</v>
      </c>
      <c r="E12" s="9" t="n">
        <f aca="false">SUM('Upwork Pipeline'!$F$6:$F$505)</f>
        <v>0</v>
      </c>
    </row>
    <row r="13" customFormat="false" ht="15" hidden="false" customHeight="false" outlineLevel="0" collapsed="false">
      <c r="A13" s="4" t="s">
        <v>13</v>
      </c>
      <c r="B13" s="10" t="n">
        <f aca="false">B12/64</f>
        <v>0.015625</v>
      </c>
      <c r="D13" s="4" t="s">
        <v>14</v>
      </c>
      <c r="E13" s="9" t="n">
        <f aca="false">COUNTIF('Upwork Pipeline'!$I$6:$I$505,"Yes")</f>
        <v>0</v>
      </c>
    </row>
    <row r="14" customFormat="false" ht="15" hidden="false" customHeight="false" outlineLevel="0" collapsed="false">
      <c r="A14" s="4" t="s">
        <v>15</v>
      </c>
      <c r="B14" s="9" t="n">
        <f aca="false">MAX(0,COUNTIFS('Weekly Plan'!$B$5:$B$68,"&lt;"&amp;$B$8-6,'Weekly Plan'!$G$5:$G$68,"&lt;&gt;Done"))</f>
        <v>0</v>
      </c>
      <c r="D14" s="4" t="s">
        <v>16</v>
      </c>
      <c r="E14" s="9" t="n">
        <f aca="false">COUNTIF('Upwork Pipeline'!$J$6:$J$505,"Yes")</f>
        <v>0</v>
      </c>
    </row>
    <row r="15" customFormat="false" ht="15" hidden="false" customHeight="false" outlineLevel="0" collapsed="false">
      <c r="A15" s="4" t="s">
        <v>17</v>
      </c>
      <c r="B15" s="9" t="n">
        <f aca="false">SUMIFS('Weekly Plan'!$E$5:$E$68,'Weekly Plan'!$A$5:$A$68,"&lt;="&amp;B11)</f>
        <v>20</v>
      </c>
      <c r="D15" s="4" t="s">
        <v>18</v>
      </c>
      <c r="E15" s="9" t="n">
        <f aca="false">COUNTIF('Upwork Pipeline'!$K$6:$K$505,"Yes")</f>
        <v>0</v>
      </c>
    </row>
    <row r="16" customFormat="false" ht="15" hidden="false" customHeight="false" outlineLevel="0" collapsed="false">
      <c r="A16" s="4" t="s">
        <v>19</v>
      </c>
      <c r="B16" s="9" t="n">
        <f aca="false">SUM('Weekly Plan'!$F$5:$F$68)</f>
        <v>20</v>
      </c>
      <c r="D16" s="4" t="s">
        <v>20</v>
      </c>
      <c r="E16" s="11" t="n">
        <f aca="false">IF(E11=0,0,E15/E11)</f>
        <v>0</v>
      </c>
    </row>
    <row r="17" customFormat="false" ht="15" hidden="false" customHeight="false" outlineLevel="0" collapsed="false">
      <c r="A17" s="4" t="s">
        <v>21</v>
      </c>
      <c r="B17" s="10" t="n">
        <f aca="false">IF(B15=0,0,B16/B15)</f>
        <v>1</v>
      </c>
      <c r="D17" s="4" t="s">
        <v>22</v>
      </c>
      <c r="E17" s="12" t="n">
        <f aca="false">SUM('Upwork Pipeline'!$L$6:$L$505)</f>
        <v>0</v>
      </c>
    </row>
    <row r="18" customFormat="false" ht="15" hidden="false" customHeight="false" outlineLevel="0" collapsed="false">
      <c r="A18" s="4" t="s">
        <v>23</v>
      </c>
      <c r="B18" s="9" t="n">
        <f aca="false">COUNTIF(Projects!$E$5:$E$18,"Done")</f>
        <v>0</v>
      </c>
      <c r="D18" s="4" t="s">
        <v>24</v>
      </c>
      <c r="E18" s="12" t="n">
        <f aca="false">IFERROR(AVERAGEIFS('Upwork Pipeline'!$G$6:$G$505,'Upwork Pipeline'!$K$6:$K$505,"Yes",'Upwork Pipeline'!$E$6:$E$505,"Hourly"),0)</f>
        <v>0</v>
      </c>
    </row>
    <row r="19" customFormat="false" ht="15" hidden="false" customHeight="false" outlineLevel="0" collapsed="false">
      <c r="A19" s="4" t="s">
        <v>25</v>
      </c>
      <c r="B19" s="9" t="n">
        <f aca="false">COUNTIF(Projects!$I$5:$I$18,"Yes")</f>
        <v>0</v>
      </c>
      <c r="D19" s="4" t="s">
        <v>26</v>
      </c>
      <c r="E19" s="12" t="n">
        <f aca="false">IFERROR(INDEX('Monthly Review'!$H$5:$H$20,MATCH(9.99E+307,'Monthly Review'!$H$5:$H$20)),0)</f>
        <v>900</v>
      </c>
    </row>
    <row r="20" customFormat="false" ht="15" hidden="false" customHeight="false" outlineLevel="0" collapsed="false">
      <c r="A20" s="4" t="s">
        <v>27</v>
      </c>
      <c r="B20" s="13" t="n">
        <f aca="false">IFERROR(AVERAGE('Weekly Plan'!$H$5:$H$68),0)</f>
        <v>4</v>
      </c>
      <c r="D20" s="4" t="s">
        <v>28</v>
      </c>
      <c r="E20" s="10" t="n">
        <f aca="false">IF($B$7=0,0,E19/$B$7)</f>
        <v>0.18</v>
      </c>
    </row>
    <row r="21" customFormat="false" ht="15" hidden="false" customHeight="false" outlineLevel="0" collapsed="false">
      <c r="A21" s="4" t="s">
        <v>29</v>
      </c>
      <c r="B21" s="9" t="n">
        <f aca="false">COUNTIF(Skills!$H$5:$H$50,"At target")</f>
        <v>0</v>
      </c>
    </row>
    <row r="24" customFormat="false" ht="15" hidden="false" customHeight="false" outlineLevel="0" collapsed="false">
      <c r="A24" s="3" t="s">
        <v>30</v>
      </c>
    </row>
    <row r="25" customFormat="false" ht="15" hidden="false" customHeight="false" outlineLevel="0" collapsed="false">
      <c r="A25" s="14" t="s">
        <v>31</v>
      </c>
      <c r="B25" s="14" t="s">
        <v>32</v>
      </c>
      <c r="D25" s="14" t="s">
        <v>33</v>
      </c>
      <c r="E25" s="14" t="s">
        <v>34</v>
      </c>
    </row>
    <row r="26" customFormat="false" ht="15" hidden="false" customHeight="false" outlineLevel="0" collapsed="false">
      <c r="A26" s="15" t="s">
        <v>35</v>
      </c>
      <c r="B26" s="16" t="n">
        <f aca="false">IF(E26=0,0,D26/E26)</f>
        <v>0.166666666666667</v>
      </c>
      <c r="D26" s="15" t="n">
        <f aca="false">COUNTIFS('Weekly Plan'!$C$5:$C$68,1,'Weekly Plan'!$G$5:$G$68,"Done")</f>
        <v>1</v>
      </c>
      <c r="E26" s="15" t="n">
        <f aca="false">COUNTIF('Weekly Plan'!$C$5:$C$68,1)</f>
        <v>6</v>
      </c>
    </row>
    <row r="27" customFormat="false" ht="15" hidden="false" customHeight="false" outlineLevel="0" collapsed="false">
      <c r="A27" s="17" t="s">
        <v>36</v>
      </c>
      <c r="B27" s="18" t="n">
        <f aca="false">IF(E27=0,0,D27/E27)</f>
        <v>0</v>
      </c>
      <c r="D27" s="17" t="n">
        <f aca="false">COUNTIFS('Weekly Plan'!$C$5:$C$68,2,'Weekly Plan'!$G$5:$G$68,"Done")</f>
        <v>0</v>
      </c>
      <c r="E27" s="17" t="n">
        <f aca="false">COUNTIF('Weekly Plan'!$C$5:$C$68,2)</f>
        <v>11</v>
      </c>
    </row>
    <row r="28" customFormat="false" ht="15" hidden="false" customHeight="false" outlineLevel="0" collapsed="false">
      <c r="A28" s="19" t="s">
        <v>37</v>
      </c>
      <c r="B28" s="20" t="n">
        <f aca="false">IF(E28=0,0,D28/E28)</f>
        <v>0</v>
      </c>
      <c r="D28" s="19" t="n">
        <f aca="false">COUNTIFS('Weekly Plan'!$C$5:$C$68,3,'Weekly Plan'!$G$5:$G$68,"Done")</f>
        <v>0</v>
      </c>
      <c r="E28" s="19" t="n">
        <f aca="false">COUNTIF('Weekly Plan'!$C$5:$C$68,3)</f>
        <v>7</v>
      </c>
    </row>
    <row r="29" customFormat="false" ht="15" hidden="false" customHeight="false" outlineLevel="0" collapsed="false">
      <c r="A29" s="21" t="s">
        <v>38</v>
      </c>
      <c r="B29" s="22" t="n">
        <f aca="false">IF(E29=0,0,D29/E29)</f>
        <v>0</v>
      </c>
      <c r="D29" s="21" t="n">
        <f aca="false">COUNTIFS('Weekly Plan'!$C$5:$C$68,4,'Weekly Plan'!$G$5:$G$68,"Done")</f>
        <v>0</v>
      </c>
      <c r="E29" s="21" t="n">
        <f aca="false">COUNTIF('Weekly Plan'!$C$5:$C$68,4)</f>
        <v>11</v>
      </c>
    </row>
    <row r="30" customFormat="false" ht="15" hidden="false" customHeight="false" outlineLevel="0" collapsed="false">
      <c r="A30" s="23" t="s">
        <v>39</v>
      </c>
      <c r="B30" s="24" t="n">
        <f aca="false">IF(E30=0,0,D30/E30)</f>
        <v>0</v>
      </c>
      <c r="D30" s="23" t="n">
        <f aca="false">COUNTIFS('Weekly Plan'!$C$5:$C$68,5,'Weekly Plan'!$G$5:$G$68,"Done")</f>
        <v>0</v>
      </c>
      <c r="E30" s="23" t="n">
        <f aca="false">COUNTIF('Weekly Plan'!$C$5:$C$68,5)</f>
        <v>11</v>
      </c>
    </row>
    <row r="31" customFormat="false" ht="15" hidden="false" customHeight="false" outlineLevel="0" collapsed="false">
      <c r="A31" s="25" t="s">
        <v>40</v>
      </c>
      <c r="B31" s="26" t="n">
        <f aca="false">IF(E31=0,0,D31/E31)</f>
        <v>0</v>
      </c>
      <c r="D31" s="25" t="n">
        <f aca="false">COUNTIFS('Weekly Plan'!$C$5:$C$68,6,'Weekly Plan'!$G$5:$G$68,"Done")</f>
        <v>0</v>
      </c>
      <c r="E31" s="25" t="n">
        <f aca="false">COUNTIF('Weekly Plan'!$C$5:$C$68,6)</f>
        <v>11</v>
      </c>
    </row>
    <row r="32" customFormat="false" ht="15" hidden="false" customHeight="false" outlineLevel="0" collapsed="false">
      <c r="A32" s="27" t="s">
        <v>41</v>
      </c>
      <c r="B32" s="28" t="n">
        <f aca="false">IF(E32=0,0,D32/E32)</f>
        <v>0</v>
      </c>
      <c r="D32" s="27" t="n">
        <f aca="false">COUNTIFS('Weekly Plan'!$C$5:$C$68,7,'Weekly Plan'!$G$5:$G$68,"Done")</f>
        <v>0</v>
      </c>
      <c r="E32" s="27" t="n">
        <f aca="false">COUNTIF('Weekly Plan'!$C$5:$C$68,7)</f>
        <v>7</v>
      </c>
    </row>
    <row r="35" customFormat="false" ht="15" hidden="false" customHeight="false" outlineLevel="0" collapsed="false">
      <c r="A35" s="3" t="s">
        <v>42</v>
      </c>
    </row>
    <row r="36" customFormat="false" ht="15" hidden="false" customHeight="false" outlineLevel="0" collapsed="false">
      <c r="A36" s="29" t="s">
        <v>43</v>
      </c>
    </row>
    <row r="37" customFormat="false" ht="15" hidden="false" customHeight="false" outlineLevel="0" collapsed="false">
      <c r="A37" s="29" t="s">
        <v>44</v>
      </c>
    </row>
    <row r="38" customFormat="false" ht="15" hidden="false" customHeight="false" outlineLevel="0" collapsed="false">
      <c r="A38" s="29" t="s">
        <v>45</v>
      </c>
    </row>
    <row r="39" customFormat="false" ht="15" hidden="false" customHeight="false" outlineLevel="0" collapsed="false">
      <c r="A39" s="29" t="s">
        <v>46</v>
      </c>
    </row>
    <row r="40" customFormat="false" ht="15" hidden="false" customHeight="false" outlineLevel="0" collapsed="false">
      <c r="A40" s="29" t="s">
        <v>47</v>
      </c>
    </row>
  </sheetData>
  <conditionalFormatting sqref="B13">
    <cfRule type="dataBar" priority="2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{F685D540-86F2-4C26-87F9-8EC6559722B1}</x14:id>
        </ext>
      </extLst>
    </cfRule>
  </conditionalFormatting>
  <conditionalFormatting sqref="B17">
    <cfRule type="dataBar" priority="3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{958B4470-ABA8-4F2C-894C-F26EA0248B56}</x14:id>
        </ext>
      </extLst>
    </cfRule>
  </conditionalFormatting>
  <conditionalFormatting sqref="E20">
    <cfRule type="dataBar" priority="4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{9EF44820-E7ED-442C-B356-203650F2DA00}</x14:id>
        </ext>
      </extLst>
    </cfRule>
  </conditionalFormatting>
  <conditionalFormatting sqref="B14">
    <cfRule type="cellIs" priority="5" operator="greaterThan" aboveAverage="0" equalAverage="0" bottom="0" percent="0" rank="0" text="" dxfId="0">
      <formula>1</formula>
    </cfRule>
  </conditionalFormatting>
  <conditionalFormatting sqref="B26:B32">
    <cfRule type="dataBar" priority="6">
      <dataBar showValue="1" minLength="10" maxLength="90">
        <cfvo type="num" val="0"/>
        <cfvo type="num" val="1"/>
        <color rgb="FF1F3A5F"/>
      </dataBar>
      <extLst>
        <ext xmlns:x14="http://schemas.microsoft.com/office/spreadsheetml/2009/9/main" uri="{B025F937-C7B1-47D3-B67F-A62EFF666E3E}">
          <x14:id>{44297DD6-912D-41E9-8A22-8044AB614A40}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85D540-86F2-4C26-87F9-8EC6559722B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958B4470-ABA8-4F2C-894C-F26EA0248B5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9EF44820-E7ED-442C-B356-203650F2DA0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E20</xm:sqref>
        </x14:conditionalFormatting>
        <x14:conditionalFormatting xmlns:xm="http://schemas.microsoft.com/office/excel/2006/main">
          <x14:cfRule type="dataBar" id="{44297DD6-912D-41E9-8A22-8044AB614A4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3A5F"/>
              <x14:axisColor rgb="FF000000"/>
            </x14:dataBar>
          </x14:cfRule>
          <xm:sqref>B26:B32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M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1" min="10" style="0" width="50"/>
    <col collapsed="false" customWidth="true" hidden="false" outlineLevel="0" max="12" min="12" style="0" width="40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31.5" hidden="false" customHeight="true" outlineLevel="0" collapsed="false">
      <c r="A4" s="30" t="s">
        <v>50</v>
      </c>
      <c r="B4" s="30" t="s">
        <v>51</v>
      </c>
      <c r="C4" s="30" t="s">
        <v>31</v>
      </c>
      <c r="D4" s="30" t="s">
        <v>52</v>
      </c>
      <c r="E4" s="30" t="s">
        <v>53</v>
      </c>
      <c r="F4" s="30" t="s">
        <v>54</v>
      </c>
      <c r="G4" s="30" t="s">
        <v>55</v>
      </c>
      <c r="H4" s="30" t="s">
        <v>56</v>
      </c>
      <c r="I4" s="30" t="s">
        <v>57</v>
      </c>
      <c r="J4" s="30" t="s">
        <v>58</v>
      </c>
      <c r="K4" s="30" t="s">
        <v>59</v>
      </c>
      <c r="L4" s="30" t="s">
        <v>60</v>
      </c>
      <c r="M4" s="30" t="s">
        <v>61</v>
      </c>
    </row>
    <row r="5" customFormat="false" ht="75" hidden="false" customHeight="true" outlineLevel="0" collapsed="false">
      <c r="A5" s="31" t="n">
        <v>1</v>
      </c>
      <c r="B5" s="32" t="n">
        <f aca="false">Dashboard!$B$5+(A5-1)*7</f>
        <v>46293</v>
      </c>
      <c r="C5" s="31" t="n">
        <v>1</v>
      </c>
      <c r="D5" s="33" t="s">
        <v>62</v>
      </c>
      <c r="E5" s="31" t="n">
        <v>20</v>
      </c>
      <c r="F5" s="34" t="n">
        <v>20</v>
      </c>
      <c r="G5" s="35" t="s">
        <v>63</v>
      </c>
      <c r="H5" s="36" t="n">
        <v>4</v>
      </c>
      <c r="I5" s="31"/>
      <c r="J5" s="37" t="s">
        <v>64</v>
      </c>
      <c r="K5" s="37" t="s">
        <v>65</v>
      </c>
      <c r="L5" s="37" t="s">
        <v>66</v>
      </c>
      <c r="M5" s="38" t="s">
        <v>67</v>
      </c>
    </row>
    <row r="6" customFormat="false" ht="75" hidden="false" customHeight="true" outlineLevel="0" collapsed="false">
      <c r="A6" s="31" t="n">
        <v>2</v>
      </c>
      <c r="B6" s="32" t="n">
        <f aca="false">Dashboard!$B$5+(A6-1)*7</f>
        <v>46300</v>
      </c>
      <c r="C6" s="31" t="n">
        <v>1</v>
      </c>
      <c r="D6" s="33" t="s">
        <v>68</v>
      </c>
      <c r="E6" s="31" t="n">
        <v>20</v>
      </c>
      <c r="F6" s="36"/>
      <c r="G6" s="35" t="s">
        <v>69</v>
      </c>
      <c r="H6" s="36"/>
      <c r="I6" s="31"/>
      <c r="J6" s="37" t="s">
        <v>70</v>
      </c>
      <c r="K6" s="37" t="s">
        <v>71</v>
      </c>
      <c r="L6" s="37" t="s">
        <v>72</v>
      </c>
      <c r="M6" s="35"/>
    </row>
    <row r="7" customFormat="false" ht="75" hidden="false" customHeight="true" outlineLevel="0" collapsed="false">
      <c r="A7" s="31" t="n">
        <v>3</v>
      </c>
      <c r="B7" s="32" t="n">
        <f aca="false">Dashboard!$B$5+(A7-1)*7</f>
        <v>46307</v>
      </c>
      <c r="C7" s="31" t="n">
        <v>1</v>
      </c>
      <c r="D7" s="33" t="s">
        <v>73</v>
      </c>
      <c r="E7" s="31" t="n">
        <v>20</v>
      </c>
      <c r="F7" s="36"/>
      <c r="G7" s="35" t="s">
        <v>69</v>
      </c>
      <c r="H7" s="36"/>
      <c r="I7" s="31" t="s">
        <v>74</v>
      </c>
      <c r="J7" s="37" t="s">
        <v>75</v>
      </c>
      <c r="K7" s="37" t="s">
        <v>76</v>
      </c>
      <c r="L7" s="37" t="s">
        <v>77</v>
      </c>
      <c r="M7" s="35"/>
    </row>
    <row r="8" customFormat="false" ht="75" hidden="false" customHeight="true" outlineLevel="0" collapsed="false">
      <c r="A8" s="31" t="n">
        <v>4</v>
      </c>
      <c r="B8" s="32" t="n">
        <f aca="false">Dashboard!$B$5+(A8-1)*7</f>
        <v>46314</v>
      </c>
      <c r="C8" s="31" t="n">
        <v>1</v>
      </c>
      <c r="D8" s="33" t="s">
        <v>78</v>
      </c>
      <c r="E8" s="31" t="n">
        <v>20</v>
      </c>
      <c r="F8" s="36"/>
      <c r="G8" s="35" t="s">
        <v>69</v>
      </c>
      <c r="H8" s="36"/>
      <c r="I8" s="31"/>
      <c r="J8" s="37" t="s">
        <v>79</v>
      </c>
      <c r="K8" s="37" t="s">
        <v>80</v>
      </c>
      <c r="L8" s="37" t="s">
        <v>81</v>
      </c>
      <c r="M8" s="35"/>
    </row>
    <row r="9" customFormat="false" ht="75" hidden="false" customHeight="true" outlineLevel="0" collapsed="false">
      <c r="A9" s="31" t="n">
        <v>5</v>
      </c>
      <c r="B9" s="32" t="n">
        <f aca="false">Dashboard!$B$5+(A9-1)*7</f>
        <v>46321</v>
      </c>
      <c r="C9" s="31" t="n">
        <v>1</v>
      </c>
      <c r="D9" s="33" t="s">
        <v>82</v>
      </c>
      <c r="E9" s="31" t="n">
        <v>20</v>
      </c>
      <c r="F9" s="36"/>
      <c r="G9" s="35" t="s">
        <v>69</v>
      </c>
      <c r="H9" s="36"/>
      <c r="I9" s="31" t="s">
        <v>74</v>
      </c>
      <c r="J9" s="37" t="s">
        <v>83</v>
      </c>
      <c r="K9" s="37" t="s">
        <v>84</v>
      </c>
      <c r="L9" s="37" t="s">
        <v>85</v>
      </c>
      <c r="M9" s="35"/>
    </row>
    <row r="10" customFormat="false" ht="75" hidden="false" customHeight="true" outlineLevel="0" collapsed="false">
      <c r="A10" s="31" t="n">
        <v>6</v>
      </c>
      <c r="B10" s="32" t="n">
        <f aca="false">Dashboard!$B$5+(A10-1)*7</f>
        <v>46328</v>
      </c>
      <c r="C10" s="31" t="n">
        <v>1</v>
      </c>
      <c r="D10" s="33" t="s">
        <v>86</v>
      </c>
      <c r="E10" s="31" t="n">
        <v>20</v>
      </c>
      <c r="F10" s="36"/>
      <c r="G10" s="35" t="s">
        <v>69</v>
      </c>
      <c r="H10" s="36"/>
      <c r="I10" s="31" t="s">
        <v>74</v>
      </c>
      <c r="J10" s="37" t="s">
        <v>87</v>
      </c>
      <c r="K10" s="37" t="s">
        <v>88</v>
      </c>
      <c r="L10" s="37" t="s">
        <v>89</v>
      </c>
      <c r="M10" s="35"/>
    </row>
    <row r="11" customFormat="false" ht="75" hidden="false" customHeight="true" outlineLevel="0" collapsed="false">
      <c r="A11" s="39" t="n">
        <v>7</v>
      </c>
      <c r="B11" s="40" t="n">
        <f aca="false">Dashboard!$B$5+(A11-1)*7</f>
        <v>46335</v>
      </c>
      <c r="C11" s="39" t="n">
        <v>2</v>
      </c>
      <c r="D11" s="41" t="s">
        <v>90</v>
      </c>
      <c r="E11" s="39" t="n">
        <v>20</v>
      </c>
      <c r="F11" s="36"/>
      <c r="G11" s="35" t="s">
        <v>69</v>
      </c>
      <c r="H11" s="36"/>
      <c r="I11" s="39" t="s">
        <v>91</v>
      </c>
      <c r="J11" s="37" t="s">
        <v>92</v>
      </c>
      <c r="K11" s="37" t="s">
        <v>93</v>
      </c>
      <c r="L11" s="37" t="s">
        <v>94</v>
      </c>
      <c r="M11" s="35"/>
    </row>
    <row r="12" customFormat="false" ht="75" hidden="false" customHeight="true" outlineLevel="0" collapsed="false">
      <c r="A12" s="39" t="n">
        <v>8</v>
      </c>
      <c r="B12" s="40" t="n">
        <f aca="false">Dashboard!$B$5+(A12-1)*7</f>
        <v>46342</v>
      </c>
      <c r="C12" s="39" t="n">
        <v>2</v>
      </c>
      <c r="D12" s="41" t="s">
        <v>95</v>
      </c>
      <c r="E12" s="39" t="n">
        <v>20</v>
      </c>
      <c r="F12" s="36"/>
      <c r="G12" s="35" t="s">
        <v>69</v>
      </c>
      <c r="H12" s="36"/>
      <c r="I12" s="39" t="s">
        <v>91</v>
      </c>
      <c r="J12" s="37" t="s">
        <v>96</v>
      </c>
      <c r="K12" s="37" t="s">
        <v>97</v>
      </c>
      <c r="L12" s="37" t="s">
        <v>98</v>
      </c>
      <c r="M12" s="35"/>
    </row>
    <row r="13" customFormat="false" ht="75" hidden="false" customHeight="true" outlineLevel="0" collapsed="false">
      <c r="A13" s="39" t="n">
        <v>9</v>
      </c>
      <c r="B13" s="40" t="n">
        <f aca="false">Dashboard!$B$5+(A13-1)*7</f>
        <v>46349</v>
      </c>
      <c r="C13" s="39" t="n">
        <v>2</v>
      </c>
      <c r="D13" s="41" t="s">
        <v>99</v>
      </c>
      <c r="E13" s="39" t="n">
        <v>20</v>
      </c>
      <c r="F13" s="36"/>
      <c r="G13" s="35" t="s">
        <v>69</v>
      </c>
      <c r="H13" s="36"/>
      <c r="I13" s="39" t="s">
        <v>91</v>
      </c>
      <c r="J13" s="37" t="s">
        <v>100</v>
      </c>
      <c r="K13" s="37" t="s">
        <v>101</v>
      </c>
      <c r="L13" s="37" t="s">
        <v>102</v>
      </c>
      <c r="M13" s="35"/>
    </row>
    <row r="14" customFormat="false" ht="75" hidden="false" customHeight="true" outlineLevel="0" collapsed="false">
      <c r="A14" s="39" t="n">
        <v>10</v>
      </c>
      <c r="B14" s="40" t="n">
        <f aca="false">Dashboard!$B$5+(A14-1)*7</f>
        <v>46356</v>
      </c>
      <c r="C14" s="39" t="n">
        <v>2</v>
      </c>
      <c r="D14" s="41" t="s">
        <v>103</v>
      </c>
      <c r="E14" s="39" t="n">
        <v>20</v>
      </c>
      <c r="F14" s="36"/>
      <c r="G14" s="35" t="s">
        <v>69</v>
      </c>
      <c r="H14" s="36"/>
      <c r="I14" s="39" t="s">
        <v>91</v>
      </c>
      <c r="J14" s="37" t="s">
        <v>104</v>
      </c>
      <c r="K14" s="37" t="s">
        <v>105</v>
      </c>
      <c r="L14" s="37" t="s">
        <v>106</v>
      </c>
      <c r="M14" s="35"/>
    </row>
    <row r="15" customFormat="false" ht="75" hidden="false" customHeight="true" outlineLevel="0" collapsed="false">
      <c r="A15" s="39" t="n">
        <v>11</v>
      </c>
      <c r="B15" s="40" t="n">
        <f aca="false">Dashboard!$B$5+(A15-1)*7</f>
        <v>46363</v>
      </c>
      <c r="C15" s="39" t="n">
        <v>2</v>
      </c>
      <c r="D15" s="41" t="s">
        <v>107</v>
      </c>
      <c r="E15" s="39" t="n">
        <v>20</v>
      </c>
      <c r="F15" s="36"/>
      <c r="G15" s="35" t="s">
        <v>69</v>
      </c>
      <c r="H15" s="36"/>
      <c r="I15" s="39" t="s">
        <v>91</v>
      </c>
      <c r="J15" s="37" t="s">
        <v>108</v>
      </c>
      <c r="K15" s="37" t="s">
        <v>109</v>
      </c>
      <c r="L15" s="37" t="s">
        <v>110</v>
      </c>
      <c r="M15" s="35"/>
    </row>
    <row r="16" customFormat="false" ht="75" hidden="false" customHeight="true" outlineLevel="0" collapsed="false">
      <c r="A16" s="39" t="n">
        <v>12</v>
      </c>
      <c r="B16" s="40" t="n">
        <f aca="false">Dashboard!$B$5+(A16-1)*7</f>
        <v>46370</v>
      </c>
      <c r="C16" s="39" t="n">
        <v>2</v>
      </c>
      <c r="D16" s="41" t="s">
        <v>111</v>
      </c>
      <c r="E16" s="39" t="n">
        <v>20</v>
      </c>
      <c r="F16" s="36"/>
      <c r="G16" s="35" t="s">
        <v>69</v>
      </c>
      <c r="H16" s="36"/>
      <c r="I16" s="39" t="s">
        <v>112</v>
      </c>
      <c r="J16" s="37" t="s">
        <v>113</v>
      </c>
      <c r="K16" s="37" t="s">
        <v>114</v>
      </c>
      <c r="L16" s="37" t="s">
        <v>115</v>
      </c>
      <c r="M16" s="35"/>
    </row>
    <row r="17" customFormat="false" ht="75" hidden="false" customHeight="true" outlineLevel="0" collapsed="false">
      <c r="A17" s="39" t="n">
        <v>13</v>
      </c>
      <c r="B17" s="40" t="n">
        <f aca="false">Dashboard!$B$5+(A17-1)*7</f>
        <v>46377</v>
      </c>
      <c r="C17" s="39" t="n">
        <v>2</v>
      </c>
      <c r="D17" s="41" t="s">
        <v>116</v>
      </c>
      <c r="E17" s="39" t="n">
        <v>20</v>
      </c>
      <c r="F17" s="36"/>
      <c r="G17" s="35" t="s">
        <v>69</v>
      </c>
      <c r="H17" s="36"/>
      <c r="I17" s="39" t="s">
        <v>112</v>
      </c>
      <c r="J17" s="37" t="s">
        <v>117</v>
      </c>
      <c r="K17" s="37" t="s">
        <v>118</v>
      </c>
      <c r="L17" s="37" t="s">
        <v>119</v>
      </c>
      <c r="M17" s="35"/>
    </row>
    <row r="18" customFormat="false" ht="75" hidden="false" customHeight="true" outlineLevel="0" collapsed="false">
      <c r="A18" s="39" t="n">
        <v>14</v>
      </c>
      <c r="B18" s="40" t="n">
        <f aca="false">Dashboard!$B$5+(A18-1)*7</f>
        <v>46384</v>
      </c>
      <c r="C18" s="39" t="n">
        <v>2</v>
      </c>
      <c r="D18" s="41" t="s">
        <v>120</v>
      </c>
      <c r="E18" s="39" t="n">
        <v>20</v>
      </c>
      <c r="F18" s="36"/>
      <c r="G18" s="35" t="s">
        <v>69</v>
      </c>
      <c r="H18" s="36"/>
      <c r="I18" s="39" t="s">
        <v>112</v>
      </c>
      <c r="J18" s="37" t="s">
        <v>121</v>
      </c>
      <c r="K18" s="37" t="s">
        <v>122</v>
      </c>
      <c r="L18" s="37" t="s">
        <v>123</v>
      </c>
      <c r="M18" s="35"/>
    </row>
    <row r="19" customFormat="false" ht="75" hidden="false" customHeight="true" outlineLevel="0" collapsed="false">
      <c r="A19" s="39" t="n">
        <v>15</v>
      </c>
      <c r="B19" s="40" t="n">
        <f aca="false">Dashboard!$B$5+(A19-1)*7</f>
        <v>46391</v>
      </c>
      <c r="C19" s="39" t="n">
        <v>2</v>
      </c>
      <c r="D19" s="41" t="s">
        <v>124</v>
      </c>
      <c r="E19" s="39" t="n">
        <v>20</v>
      </c>
      <c r="F19" s="36"/>
      <c r="G19" s="35" t="s">
        <v>69</v>
      </c>
      <c r="H19" s="36"/>
      <c r="I19" s="39" t="s">
        <v>112</v>
      </c>
      <c r="J19" s="37" t="s">
        <v>125</v>
      </c>
      <c r="K19" s="37" t="s">
        <v>126</v>
      </c>
      <c r="L19" s="37" t="s">
        <v>127</v>
      </c>
      <c r="M19" s="35"/>
    </row>
    <row r="20" customFormat="false" ht="75" hidden="false" customHeight="true" outlineLevel="0" collapsed="false">
      <c r="A20" s="39" t="n">
        <v>16</v>
      </c>
      <c r="B20" s="40" t="n">
        <f aca="false">Dashboard!$B$5+(A20-1)*7</f>
        <v>46398</v>
      </c>
      <c r="C20" s="39" t="n">
        <v>2</v>
      </c>
      <c r="D20" s="41" t="s">
        <v>128</v>
      </c>
      <c r="E20" s="39" t="n">
        <v>20</v>
      </c>
      <c r="F20" s="36"/>
      <c r="G20" s="35" t="s">
        <v>69</v>
      </c>
      <c r="H20" s="36"/>
      <c r="I20" s="39"/>
      <c r="J20" s="37" t="s">
        <v>129</v>
      </c>
      <c r="K20" s="37" t="s">
        <v>130</v>
      </c>
      <c r="L20" s="37" t="s">
        <v>131</v>
      </c>
      <c r="M20" s="35"/>
    </row>
    <row r="21" customFormat="false" ht="75" hidden="false" customHeight="true" outlineLevel="0" collapsed="false">
      <c r="A21" s="39" t="n">
        <v>17</v>
      </c>
      <c r="B21" s="40" t="n">
        <f aca="false">Dashboard!$B$5+(A21-1)*7</f>
        <v>46405</v>
      </c>
      <c r="C21" s="39" t="n">
        <v>2</v>
      </c>
      <c r="D21" s="41" t="s">
        <v>132</v>
      </c>
      <c r="E21" s="39" t="n">
        <v>15</v>
      </c>
      <c r="F21" s="36"/>
      <c r="G21" s="35" t="s">
        <v>69</v>
      </c>
      <c r="H21" s="36"/>
      <c r="I21" s="39"/>
      <c r="J21" s="37" t="s">
        <v>133</v>
      </c>
      <c r="K21" s="37" t="s">
        <v>134</v>
      </c>
      <c r="L21" s="37" t="s">
        <v>135</v>
      </c>
      <c r="M21" s="35"/>
    </row>
    <row r="22" customFormat="false" ht="75" hidden="false" customHeight="true" outlineLevel="0" collapsed="false">
      <c r="A22" s="42" t="n">
        <v>18</v>
      </c>
      <c r="B22" s="43" t="n">
        <f aca="false">Dashboard!$B$5+(A22-1)*7</f>
        <v>46412</v>
      </c>
      <c r="C22" s="42" t="n">
        <v>3</v>
      </c>
      <c r="D22" s="44" t="s">
        <v>136</v>
      </c>
      <c r="E22" s="42" t="n">
        <v>20</v>
      </c>
      <c r="F22" s="36"/>
      <c r="G22" s="35" t="s">
        <v>69</v>
      </c>
      <c r="H22" s="36"/>
      <c r="I22" s="42" t="s">
        <v>137</v>
      </c>
      <c r="J22" s="37" t="s">
        <v>138</v>
      </c>
      <c r="K22" s="37" t="s">
        <v>139</v>
      </c>
      <c r="L22" s="37" t="s">
        <v>140</v>
      </c>
      <c r="M22" s="35"/>
    </row>
    <row r="23" customFormat="false" ht="75" hidden="false" customHeight="true" outlineLevel="0" collapsed="false">
      <c r="A23" s="42" t="n">
        <v>19</v>
      </c>
      <c r="B23" s="43" t="n">
        <f aca="false">Dashboard!$B$5+(A23-1)*7</f>
        <v>46419</v>
      </c>
      <c r="C23" s="42" t="n">
        <v>3</v>
      </c>
      <c r="D23" s="44" t="s">
        <v>141</v>
      </c>
      <c r="E23" s="42" t="n">
        <v>20</v>
      </c>
      <c r="F23" s="36"/>
      <c r="G23" s="35" t="s">
        <v>69</v>
      </c>
      <c r="H23" s="36"/>
      <c r="I23" s="42" t="s">
        <v>137</v>
      </c>
      <c r="J23" s="37" t="s">
        <v>142</v>
      </c>
      <c r="K23" s="37" t="s">
        <v>143</v>
      </c>
      <c r="L23" s="37" t="s">
        <v>144</v>
      </c>
      <c r="M23" s="35"/>
    </row>
    <row r="24" customFormat="false" ht="75" hidden="false" customHeight="true" outlineLevel="0" collapsed="false">
      <c r="A24" s="42" t="n">
        <v>20</v>
      </c>
      <c r="B24" s="43" t="n">
        <f aca="false">Dashboard!$B$5+(A24-1)*7</f>
        <v>46426</v>
      </c>
      <c r="C24" s="42" t="n">
        <v>3</v>
      </c>
      <c r="D24" s="44" t="s">
        <v>145</v>
      </c>
      <c r="E24" s="42" t="n">
        <v>20</v>
      </c>
      <c r="F24" s="36"/>
      <c r="G24" s="35" t="s">
        <v>69</v>
      </c>
      <c r="H24" s="36"/>
      <c r="I24" s="42" t="s">
        <v>137</v>
      </c>
      <c r="J24" s="37" t="s">
        <v>146</v>
      </c>
      <c r="K24" s="37" t="s">
        <v>147</v>
      </c>
      <c r="L24" s="37" t="s">
        <v>148</v>
      </c>
      <c r="M24" s="35"/>
    </row>
    <row r="25" customFormat="false" ht="75" hidden="false" customHeight="true" outlineLevel="0" collapsed="false">
      <c r="A25" s="42" t="n">
        <v>21</v>
      </c>
      <c r="B25" s="43" t="n">
        <f aca="false">Dashboard!$B$5+(A25-1)*7</f>
        <v>46433</v>
      </c>
      <c r="C25" s="42" t="n">
        <v>3</v>
      </c>
      <c r="D25" s="44" t="s">
        <v>149</v>
      </c>
      <c r="E25" s="42" t="n">
        <v>20</v>
      </c>
      <c r="F25" s="36"/>
      <c r="G25" s="35" t="s">
        <v>69</v>
      </c>
      <c r="H25" s="36"/>
      <c r="I25" s="42" t="s">
        <v>137</v>
      </c>
      <c r="J25" s="37" t="s">
        <v>150</v>
      </c>
      <c r="K25" s="37" t="s">
        <v>151</v>
      </c>
      <c r="L25" s="37" t="s">
        <v>152</v>
      </c>
      <c r="M25" s="35"/>
    </row>
    <row r="26" customFormat="false" ht="75" hidden="false" customHeight="true" outlineLevel="0" collapsed="false">
      <c r="A26" s="42" t="n">
        <v>22</v>
      </c>
      <c r="B26" s="43" t="n">
        <f aca="false">Dashboard!$B$5+(A26-1)*7</f>
        <v>46440</v>
      </c>
      <c r="C26" s="42" t="n">
        <v>3</v>
      </c>
      <c r="D26" s="44" t="s">
        <v>153</v>
      </c>
      <c r="E26" s="42" t="n">
        <v>20</v>
      </c>
      <c r="F26" s="36"/>
      <c r="G26" s="35" t="s">
        <v>69</v>
      </c>
      <c r="H26" s="36"/>
      <c r="I26" s="42" t="s">
        <v>154</v>
      </c>
      <c r="J26" s="37" t="s">
        <v>155</v>
      </c>
      <c r="K26" s="37" t="s">
        <v>156</v>
      </c>
      <c r="L26" s="37" t="s">
        <v>157</v>
      </c>
      <c r="M26" s="35"/>
    </row>
    <row r="27" customFormat="false" ht="75" hidden="false" customHeight="true" outlineLevel="0" collapsed="false">
      <c r="A27" s="42" t="n">
        <v>23</v>
      </c>
      <c r="B27" s="43" t="n">
        <f aca="false">Dashboard!$B$5+(A27-1)*7</f>
        <v>46447</v>
      </c>
      <c r="C27" s="42" t="n">
        <v>3</v>
      </c>
      <c r="D27" s="44" t="s">
        <v>158</v>
      </c>
      <c r="E27" s="42" t="n">
        <v>20</v>
      </c>
      <c r="F27" s="36"/>
      <c r="G27" s="35" t="s">
        <v>69</v>
      </c>
      <c r="H27" s="36"/>
      <c r="I27" s="42" t="s">
        <v>154</v>
      </c>
      <c r="J27" s="37" t="s">
        <v>159</v>
      </c>
      <c r="K27" s="37" t="s">
        <v>160</v>
      </c>
      <c r="L27" s="37" t="s">
        <v>161</v>
      </c>
      <c r="M27" s="35"/>
    </row>
    <row r="28" customFormat="false" ht="75" hidden="false" customHeight="true" outlineLevel="0" collapsed="false">
      <c r="A28" s="42" t="n">
        <v>24</v>
      </c>
      <c r="B28" s="43" t="n">
        <f aca="false">Dashboard!$B$5+(A28-1)*7</f>
        <v>46454</v>
      </c>
      <c r="C28" s="42" t="n">
        <v>3</v>
      </c>
      <c r="D28" s="44" t="s">
        <v>162</v>
      </c>
      <c r="E28" s="42" t="n">
        <v>15</v>
      </c>
      <c r="F28" s="36"/>
      <c r="G28" s="35" t="s">
        <v>69</v>
      </c>
      <c r="H28" s="36"/>
      <c r="I28" s="42"/>
      <c r="J28" s="37" t="s">
        <v>163</v>
      </c>
      <c r="K28" s="37" t="s">
        <v>164</v>
      </c>
      <c r="L28" s="37" t="s">
        <v>165</v>
      </c>
      <c r="M28" s="35"/>
    </row>
    <row r="29" customFormat="false" ht="75" hidden="false" customHeight="true" outlineLevel="0" collapsed="false">
      <c r="A29" s="45" t="n">
        <v>25</v>
      </c>
      <c r="B29" s="46" t="n">
        <f aca="false">Dashboard!$B$5+(A29-1)*7</f>
        <v>46461</v>
      </c>
      <c r="C29" s="45" t="n">
        <v>4</v>
      </c>
      <c r="D29" s="47" t="s">
        <v>166</v>
      </c>
      <c r="E29" s="45" t="n">
        <v>20</v>
      </c>
      <c r="F29" s="36"/>
      <c r="G29" s="35" t="s">
        <v>69</v>
      </c>
      <c r="H29" s="36"/>
      <c r="I29" s="45"/>
      <c r="J29" s="37" t="s">
        <v>167</v>
      </c>
      <c r="K29" s="37" t="s">
        <v>168</v>
      </c>
      <c r="L29" s="37" t="s">
        <v>169</v>
      </c>
      <c r="M29" s="35"/>
    </row>
    <row r="30" customFormat="false" ht="75" hidden="false" customHeight="true" outlineLevel="0" collapsed="false">
      <c r="A30" s="45" t="n">
        <v>26</v>
      </c>
      <c r="B30" s="46" t="n">
        <f aca="false">Dashboard!$B$5+(A30-1)*7</f>
        <v>46468</v>
      </c>
      <c r="C30" s="45" t="n">
        <v>4</v>
      </c>
      <c r="D30" s="47" t="s">
        <v>170</v>
      </c>
      <c r="E30" s="45" t="n">
        <v>20</v>
      </c>
      <c r="F30" s="36"/>
      <c r="G30" s="35" t="s">
        <v>69</v>
      </c>
      <c r="H30" s="36"/>
      <c r="I30" s="45"/>
      <c r="J30" s="37" t="s">
        <v>171</v>
      </c>
      <c r="K30" s="37" t="s">
        <v>172</v>
      </c>
      <c r="L30" s="37" t="s">
        <v>144</v>
      </c>
      <c r="M30" s="35"/>
    </row>
    <row r="31" customFormat="false" ht="75" hidden="false" customHeight="true" outlineLevel="0" collapsed="false">
      <c r="A31" s="45" t="n">
        <v>27</v>
      </c>
      <c r="B31" s="46" t="n">
        <f aca="false">Dashboard!$B$5+(A31-1)*7</f>
        <v>46475</v>
      </c>
      <c r="C31" s="45" t="n">
        <v>4</v>
      </c>
      <c r="D31" s="47" t="s">
        <v>173</v>
      </c>
      <c r="E31" s="45" t="n">
        <v>20</v>
      </c>
      <c r="F31" s="36"/>
      <c r="G31" s="35" t="s">
        <v>69</v>
      </c>
      <c r="H31" s="36"/>
      <c r="I31" s="45" t="s">
        <v>174</v>
      </c>
      <c r="J31" s="37" t="s">
        <v>175</v>
      </c>
      <c r="K31" s="37" t="s">
        <v>176</v>
      </c>
      <c r="L31" s="37" t="s">
        <v>144</v>
      </c>
      <c r="M31" s="35"/>
    </row>
    <row r="32" customFormat="false" ht="75" hidden="false" customHeight="true" outlineLevel="0" collapsed="false">
      <c r="A32" s="45" t="n">
        <v>28</v>
      </c>
      <c r="B32" s="46" t="n">
        <f aca="false">Dashboard!$B$5+(A32-1)*7</f>
        <v>46482</v>
      </c>
      <c r="C32" s="45" t="n">
        <v>4</v>
      </c>
      <c r="D32" s="47" t="s">
        <v>177</v>
      </c>
      <c r="E32" s="45" t="n">
        <v>20</v>
      </c>
      <c r="F32" s="36"/>
      <c r="G32" s="35" t="s">
        <v>69</v>
      </c>
      <c r="H32" s="36"/>
      <c r="I32" s="45" t="s">
        <v>174</v>
      </c>
      <c r="J32" s="37" t="s">
        <v>178</v>
      </c>
      <c r="K32" s="37" t="s">
        <v>179</v>
      </c>
      <c r="L32" s="37" t="s">
        <v>180</v>
      </c>
      <c r="M32" s="35"/>
    </row>
    <row r="33" customFormat="false" ht="75" hidden="false" customHeight="true" outlineLevel="0" collapsed="false">
      <c r="A33" s="45" t="n">
        <v>29</v>
      </c>
      <c r="B33" s="46" t="n">
        <f aca="false">Dashboard!$B$5+(A33-1)*7</f>
        <v>46489</v>
      </c>
      <c r="C33" s="45" t="n">
        <v>4</v>
      </c>
      <c r="D33" s="47" t="s">
        <v>181</v>
      </c>
      <c r="E33" s="45" t="n">
        <v>20</v>
      </c>
      <c r="F33" s="36"/>
      <c r="G33" s="35" t="s">
        <v>69</v>
      </c>
      <c r="H33" s="36"/>
      <c r="I33" s="45"/>
      <c r="J33" s="37" t="s">
        <v>182</v>
      </c>
      <c r="K33" s="37" t="s">
        <v>183</v>
      </c>
      <c r="L33" s="37" t="s">
        <v>184</v>
      </c>
      <c r="M33" s="35"/>
    </row>
    <row r="34" customFormat="false" ht="75" hidden="false" customHeight="true" outlineLevel="0" collapsed="false">
      <c r="A34" s="45" t="n">
        <v>30</v>
      </c>
      <c r="B34" s="46" t="n">
        <f aca="false">Dashboard!$B$5+(A34-1)*7</f>
        <v>46496</v>
      </c>
      <c r="C34" s="45" t="n">
        <v>4</v>
      </c>
      <c r="D34" s="47" t="s">
        <v>185</v>
      </c>
      <c r="E34" s="45" t="n">
        <v>20</v>
      </c>
      <c r="F34" s="36"/>
      <c r="G34" s="35" t="s">
        <v>69</v>
      </c>
      <c r="H34" s="36"/>
      <c r="I34" s="45"/>
      <c r="J34" s="37" t="s">
        <v>186</v>
      </c>
      <c r="K34" s="37" t="s">
        <v>187</v>
      </c>
      <c r="L34" s="37" t="s">
        <v>188</v>
      </c>
      <c r="M34" s="35"/>
    </row>
    <row r="35" customFormat="false" ht="75" hidden="false" customHeight="true" outlineLevel="0" collapsed="false">
      <c r="A35" s="45" t="n">
        <v>31</v>
      </c>
      <c r="B35" s="46" t="n">
        <f aca="false">Dashboard!$B$5+(A35-1)*7</f>
        <v>46503</v>
      </c>
      <c r="C35" s="45" t="n">
        <v>4</v>
      </c>
      <c r="D35" s="47" t="s">
        <v>189</v>
      </c>
      <c r="E35" s="45" t="n">
        <v>20</v>
      </c>
      <c r="F35" s="36"/>
      <c r="G35" s="35" t="s">
        <v>69</v>
      </c>
      <c r="H35" s="36"/>
      <c r="I35" s="45"/>
      <c r="J35" s="37" t="s">
        <v>190</v>
      </c>
      <c r="K35" s="37" t="s">
        <v>191</v>
      </c>
      <c r="L35" s="37" t="s">
        <v>144</v>
      </c>
      <c r="M35" s="35"/>
    </row>
    <row r="36" customFormat="false" ht="75" hidden="false" customHeight="true" outlineLevel="0" collapsed="false">
      <c r="A36" s="45" t="n">
        <v>32</v>
      </c>
      <c r="B36" s="46" t="n">
        <f aca="false">Dashboard!$B$5+(A36-1)*7</f>
        <v>46510</v>
      </c>
      <c r="C36" s="45" t="n">
        <v>4</v>
      </c>
      <c r="D36" s="47" t="s">
        <v>192</v>
      </c>
      <c r="E36" s="45" t="n">
        <v>20</v>
      </c>
      <c r="F36" s="36"/>
      <c r="G36" s="35" t="s">
        <v>69</v>
      </c>
      <c r="H36" s="36"/>
      <c r="I36" s="45" t="s">
        <v>193</v>
      </c>
      <c r="J36" s="37" t="s">
        <v>194</v>
      </c>
      <c r="K36" s="37" t="s">
        <v>195</v>
      </c>
      <c r="L36" s="37" t="s">
        <v>144</v>
      </c>
      <c r="M36" s="35"/>
    </row>
    <row r="37" customFormat="false" ht="75" hidden="false" customHeight="true" outlineLevel="0" collapsed="false">
      <c r="A37" s="45" t="n">
        <v>33</v>
      </c>
      <c r="B37" s="46" t="n">
        <f aca="false">Dashboard!$B$5+(A37-1)*7</f>
        <v>46517</v>
      </c>
      <c r="C37" s="45" t="n">
        <v>4</v>
      </c>
      <c r="D37" s="47" t="s">
        <v>196</v>
      </c>
      <c r="E37" s="45" t="n">
        <v>20</v>
      </c>
      <c r="F37" s="36"/>
      <c r="G37" s="35" t="s">
        <v>69</v>
      </c>
      <c r="H37" s="36"/>
      <c r="I37" s="45" t="s">
        <v>193</v>
      </c>
      <c r="J37" s="37" t="s">
        <v>197</v>
      </c>
      <c r="K37" s="37" t="s">
        <v>198</v>
      </c>
      <c r="L37" s="37" t="s">
        <v>199</v>
      </c>
      <c r="M37" s="35"/>
    </row>
    <row r="38" customFormat="false" ht="75" hidden="false" customHeight="true" outlineLevel="0" collapsed="false">
      <c r="A38" s="45" t="n">
        <v>34</v>
      </c>
      <c r="B38" s="46" t="n">
        <f aca="false">Dashboard!$B$5+(A38-1)*7</f>
        <v>46524</v>
      </c>
      <c r="C38" s="45" t="n">
        <v>4</v>
      </c>
      <c r="D38" s="47" t="s">
        <v>200</v>
      </c>
      <c r="E38" s="45" t="n">
        <v>20</v>
      </c>
      <c r="F38" s="36"/>
      <c r="G38" s="35" t="s">
        <v>69</v>
      </c>
      <c r="H38" s="36"/>
      <c r="I38" s="45" t="s">
        <v>201</v>
      </c>
      <c r="J38" s="37" t="s">
        <v>202</v>
      </c>
      <c r="K38" s="37" t="s">
        <v>203</v>
      </c>
      <c r="L38" s="37" t="s">
        <v>204</v>
      </c>
      <c r="M38" s="35"/>
    </row>
    <row r="39" customFormat="false" ht="75" hidden="false" customHeight="true" outlineLevel="0" collapsed="false">
      <c r="A39" s="45" t="n">
        <v>35</v>
      </c>
      <c r="B39" s="46" t="n">
        <f aca="false">Dashboard!$B$5+(A39-1)*7</f>
        <v>46531</v>
      </c>
      <c r="C39" s="45" t="n">
        <v>4</v>
      </c>
      <c r="D39" s="47" t="s">
        <v>205</v>
      </c>
      <c r="E39" s="45" t="n">
        <v>20</v>
      </c>
      <c r="F39" s="36"/>
      <c r="G39" s="35" t="s">
        <v>69</v>
      </c>
      <c r="H39" s="36"/>
      <c r="I39" s="45" t="s">
        <v>201</v>
      </c>
      <c r="J39" s="37" t="s">
        <v>206</v>
      </c>
      <c r="K39" s="37" t="s">
        <v>207</v>
      </c>
      <c r="L39" s="37" t="s">
        <v>208</v>
      </c>
      <c r="M39" s="35"/>
    </row>
    <row r="40" customFormat="false" ht="75" hidden="false" customHeight="true" outlineLevel="0" collapsed="false">
      <c r="A40" s="48" t="n">
        <v>36</v>
      </c>
      <c r="B40" s="49" t="n">
        <f aca="false">Dashboard!$B$5+(A40-1)*7</f>
        <v>46538</v>
      </c>
      <c r="C40" s="48" t="n">
        <v>5</v>
      </c>
      <c r="D40" s="50" t="s">
        <v>209</v>
      </c>
      <c r="E40" s="48" t="n">
        <v>20</v>
      </c>
      <c r="F40" s="36"/>
      <c r="G40" s="35" t="s">
        <v>69</v>
      </c>
      <c r="H40" s="36"/>
      <c r="I40" s="48"/>
      <c r="J40" s="37" t="s">
        <v>210</v>
      </c>
      <c r="K40" s="37" t="s">
        <v>211</v>
      </c>
      <c r="L40" s="37" t="s">
        <v>212</v>
      </c>
      <c r="M40" s="35"/>
    </row>
    <row r="41" customFormat="false" ht="75" hidden="false" customHeight="true" outlineLevel="0" collapsed="false">
      <c r="A41" s="48" t="n">
        <v>37</v>
      </c>
      <c r="B41" s="49" t="n">
        <f aca="false">Dashboard!$B$5+(A41-1)*7</f>
        <v>46545</v>
      </c>
      <c r="C41" s="48" t="n">
        <v>5</v>
      </c>
      <c r="D41" s="50" t="s">
        <v>213</v>
      </c>
      <c r="E41" s="48" t="n">
        <v>20</v>
      </c>
      <c r="F41" s="36"/>
      <c r="G41" s="35" t="s">
        <v>69</v>
      </c>
      <c r="H41" s="36"/>
      <c r="I41" s="48" t="s">
        <v>214</v>
      </c>
      <c r="J41" s="37" t="s">
        <v>215</v>
      </c>
      <c r="K41" s="37" t="s">
        <v>216</v>
      </c>
      <c r="L41" s="37" t="s">
        <v>144</v>
      </c>
      <c r="M41" s="35"/>
    </row>
    <row r="42" customFormat="false" ht="75" hidden="false" customHeight="true" outlineLevel="0" collapsed="false">
      <c r="A42" s="48" t="n">
        <v>38</v>
      </c>
      <c r="B42" s="49" t="n">
        <f aca="false">Dashboard!$B$5+(A42-1)*7</f>
        <v>46552</v>
      </c>
      <c r="C42" s="48" t="n">
        <v>5</v>
      </c>
      <c r="D42" s="50" t="s">
        <v>217</v>
      </c>
      <c r="E42" s="48" t="n">
        <v>20</v>
      </c>
      <c r="F42" s="36"/>
      <c r="G42" s="35" t="s">
        <v>69</v>
      </c>
      <c r="H42" s="36"/>
      <c r="I42" s="48" t="s">
        <v>214</v>
      </c>
      <c r="J42" s="37" t="s">
        <v>218</v>
      </c>
      <c r="K42" s="37" t="s">
        <v>219</v>
      </c>
      <c r="L42" s="37" t="s">
        <v>144</v>
      </c>
      <c r="M42" s="35"/>
    </row>
    <row r="43" customFormat="false" ht="75" hidden="false" customHeight="true" outlineLevel="0" collapsed="false">
      <c r="A43" s="48" t="n">
        <v>39</v>
      </c>
      <c r="B43" s="49" t="n">
        <f aca="false">Dashboard!$B$5+(A43-1)*7</f>
        <v>46559</v>
      </c>
      <c r="C43" s="48" t="n">
        <v>5</v>
      </c>
      <c r="D43" s="50" t="s">
        <v>220</v>
      </c>
      <c r="E43" s="48" t="n">
        <v>20</v>
      </c>
      <c r="F43" s="36"/>
      <c r="G43" s="35" t="s">
        <v>69</v>
      </c>
      <c r="H43" s="36"/>
      <c r="I43" s="48" t="s">
        <v>214</v>
      </c>
      <c r="J43" s="37" t="s">
        <v>221</v>
      </c>
      <c r="K43" s="37" t="s">
        <v>222</v>
      </c>
      <c r="L43" s="37" t="s">
        <v>144</v>
      </c>
      <c r="M43" s="35"/>
    </row>
    <row r="44" customFormat="false" ht="75" hidden="false" customHeight="true" outlineLevel="0" collapsed="false">
      <c r="A44" s="48" t="n">
        <v>40</v>
      </c>
      <c r="B44" s="49" t="n">
        <f aca="false">Dashboard!$B$5+(A44-1)*7</f>
        <v>46566</v>
      </c>
      <c r="C44" s="48" t="n">
        <v>5</v>
      </c>
      <c r="D44" s="50" t="s">
        <v>223</v>
      </c>
      <c r="E44" s="48" t="n">
        <v>20</v>
      </c>
      <c r="F44" s="36"/>
      <c r="G44" s="35" t="s">
        <v>69</v>
      </c>
      <c r="H44" s="36"/>
      <c r="I44" s="48" t="s">
        <v>214</v>
      </c>
      <c r="J44" s="37" t="s">
        <v>224</v>
      </c>
      <c r="K44" s="37" t="s">
        <v>225</v>
      </c>
      <c r="L44" s="37" t="s">
        <v>226</v>
      </c>
      <c r="M44" s="35"/>
    </row>
    <row r="45" customFormat="false" ht="75" hidden="false" customHeight="true" outlineLevel="0" collapsed="false">
      <c r="A45" s="48" t="n">
        <v>41</v>
      </c>
      <c r="B45" s="49" t="n">
        <f aca="false">Dashboard!$B$5+(A45-1)*7</f>
        <v>46573</v>
      </c>
      <c r="C45" s="48" t="n">
        <v>5</v>
      </c>
      <c r="D45" s="50" t="s">
        <v>227</v>
      </c>
      <c r="E45" s="48" t="n">
        <v>15</v>
      </c>
      <c r="F45" s="36"/>
      <c r="G45" s="35" t="s">
        <v>69</v>
      </c>
      <c r="H45" s="36"/>
      <c r="I45" s="48"/>
      <c r="J45" s="37" t="s">
        <v>228</v>
      </c>
      <c r="K45" s="37" t="s">
        <v>229</v>
      </c>
      <c r="L45" s="37" t="s">
        <v>144</v>
      </c>
      <c r="M45" s="35"/>
    </row>
    <row r="46" customFormat="false" ht="75" hidden="false" customHeight="true" outlineLevel="0" collapsed="false">
      <c r="A46" s="48" t="n">
        <v>42</v>
      </c>
      <c r="B46" s="49" t="n">
        <f aca="false">Dashboard!$B$5+(A46-1)*7</f>
        <v>46580</v>
      </c>
      <c r="C46" s="48" t="n">
        <v>5</v>
      </c>
      <c r="D46" s="50" t="s">
        <v>230</v>
      </c>
      <c r="E46" s="48" t="n">
        <v>20</v>
      </c>
      <c r="F46" s="36"/>
      <c r="G46" s="35" t="s">
        <v>69</v>
      </c>
      <c r="H46" s="36"/>
      <c r="I46" s="48" t="s">
        <v>231</v>
      </c>
      <c r="J46" s="37" t="s">
        <v>232</v>
      </c>
      <c r="K46" s="37" t="s">
        <v>233</v>
      </c>
      <c r="L46" s="37" t="s">
        <v>144</v>
      </c>
      <c r="M46" s="35"/>
    </row>
    <row r="47" customFormat="false" ht="75" hidden="false" customHeight="true" outlineLevel="0" collapsed="false">
      <c r="A47" s="48" t="n">
        <v>43</v>
      </c>
      <c r="B47" s="49" t="n">
        <f aca="false">Dashboard!$B$5+(A47-1)*7</f>
        <v>46587</v>
      </c>
      <c r="C47" s="48" t="n">
        <v>5</v>
      </c>
      <c r="D47" s="50" t="s">
        <v>234</v>
      </c>
      <c r="E47" s="48" t="n">
        <v>20</v>
      </c>
      <c r="F47" s="36"/>
      <c r="G47" s="35" t="s">
        <v>69</v>
      </c>
      <c r="H47" s="36"/>
      <c r="I47" s="48" t="s">
        <v>231</v>
      </c>
      <c r="J47" s="37" t="s">
        <v>235</v>
      </c>
      <c r="K47" s="37" t="s">
        <v>236</v>
      </c>
      <c r="L47" s="37" t="s">
        <v>144</v>
      </c>
      <c r="M47" s="35"/>
    </row>
    <row r="48" customFormat="false" ht="75" hidden="false" customHeight="true" outlineLevel="0" collapsed="false">
      <c r="A48" s="48" t="n">
        <v>44</v>
      </c>
      <c r="B48" s="49" t="n">
        <f aca="false">Dashboard!$B$5+(A48-1)*7</f>
        <v>46594</v>
      </c>
      <c r="C48" s="48" t="n">
        <v>5</v>
      </c>
      <c r="D48" s="50" t="s">
        <v>237</v>
      </c>
      <c r="E48" s="48" t="n">
        <v>20</v>
      </c>
      <c r="F48" s="36"/>
      <c r="G48" s="35" t="s">
        <v>69</v>
      </c>
      <c r="H48" s="36"/>
      <c r="I48" s="48" t="s">
        <v>231</v>
      </c>
      <c r="J48" s="37" t="s">
        <v>238</v>
      </c>
      <c r="K48" s="37" t="s">
        <v>239</v>
      </c>
      <c r="L48" s="37" t="s">
        <v>240</v>
      </c>
      <c r="M48" s="35"/>
    </row>
    <row r="49" customFormat="false" ht="75" hidden="false" customHeight="true" outlineLevel="0" collapsed="false">
      <c r="A49" s="48" t="n">
        <v>45</v>
      </c>
      <c r="B49" s="49" t="n">
        <f aca="false">Dashboard!$B$5+(A49-1)*7</f>
        <v>46601</v>
      </c>
      <c r="C49" s="48" t="n">
        <v>5</v>
      </c>
      <c r="D49" s="50" t="s">
        <v>241</v>
      </c>
      <c r="E49" s="48" t="n">
        <v>15</v>
      </c>
      <c r="F49" s="36"/>
      <c r="G49" s="35" t="s">
        <v>69</v>
      </c>
      <c r="H49" s="36"/>
      <c r="I49" s="48"/>
      <c r="J49" s="37" t="s">
        <v>242</v>
      </c>
      <c r="K49" s="37" t="s">
        <v>243</v>
      </c>
      <c r="L49" s="37" t="s">
        <v>244</v>
      </c>
      <c r="M49" s="35"/>
    </row>
    <row r="50" customFormat="false" ht="75" hidden="false" customHeight="true" outlineLevel="0" collapsed="false">
      <c r="A50" s="48" t="n">
        <v>46</v>
      </c>
      <c r="B50" s="49" t="n">
        <f aca="false">Dashboard!$B$5+(A50-1)*7</f>
        <v>46608</v>
      </c>
      <c r="C50" s="48" t="n">
        <v>5</v>
      </c>
      <c r="D50" s="50" t="s">
        <v>132</v>
      </c>
      <c r="E50" s="48" t="n">
        <v>15</v>
      </c>
      <c r="F50" s="36"/>
      <c r="G50" s="35" t="s">
        <v>69</v>
      </c>
      <c r="H50" s="36"/>
      <c r="I50" s="48"/>
      <c r="J50" s="37" t="s">
        <v>245</v>
      </c>
      <c r="K50" s="37" t="s">
        <v>246</v>
      </c>
      <c r="L50" s="37" t="s">
        <v>247</v>
      </c>
      <c r="M50" s="35"/>
    </row>
    <row r="51" customFormat="false" ht="75" hidden="false" customHeight="true" outlineLevel="0" collapsed="false">
      <c r="A51" s="51" t="n">
        <v>47</v>
      </c>
      <c r="B51" s="52" t="n">
        <f aca="false">Dashboard!$B$5+(A51-1)*7</f>
        <v>46615</v>
      </c>
      <c r="C51" s="51" t="n">
        <v>6</v>
      </c>
      <c r="D51" s="53" t="s">
        <v>248</v>
      </c>
      <c r="E51" s="51" t="n">
        <v>20</v>
      </c>
      <c r="F51" s="36"/>
      <c r="G51" s="35" t="s">
        <v>69</v>
      </c>
      <c r="H51" s="36"/>
      <c r="I51" s="51" t="s">
        <v>249</v>
      </c>
      <c r="J51" s="37" t="s">
        <v>250</v>
      </c>
      <c r="K51" s="37" t="s">
        <v>251</v>
      </c>
      <c r="L51" s="37" t="s">
        <v>252</v>
      </c>
      <c r="M51" s="35"/>
    </row>
    <row r="52" customFormat="false" ht="75" hidden="false" customHeight="true" outlineLevel="0" collapsed="false">
      <c r="A52" s="51" t="n">
        <v>48</v>
      </c>
      <c r="B52" s="52" t="n">
        <f aca="false">Dashboard!$B$5+(A52-1)*7</f>
        <v>46622</v>
      </c>
      <c r="C52" s="51" t="n">
        <v>6</v>
      </c>
      <c r="D52" s="53" t="s">
        <v>253</v>
      </c>
      <c r="E52" s="51" t="n">
        <v>20</v>
      </c>
      <c r="F52" s="36"/>
      <c r="G52" s="35" t="s">
        <v>69</v>
      </c>
      <c r="H52" s="36"/>
      <c r="I52" s="51" t="s">
        <v>249</v>
      </c>
      <c r="J52" s="37" t="s">
        <v>254</v>
      </c>
      <c r="K52" s="37" t="s">
        <v>255</v>
      </c>
      <c r="L52" s="37" t="s">
        <v>256</v>
      </c>
      <c r="M52" s="35"/>
    </row>
    <row r="53" customFormat="false" ht="75" hidden="false" customHeight="true" outlineLevel="0" collapsed="false">
      <c r="A53" s="51" t="n">
        <v>49</v>
      </c>
      <c r="B53" s="52" t="n">
        <f aca="false">Dashboard!$B$5+(A53-1)*7</f>
        <v>46629</v>
      </c>
      <c r="C53" s="51" t="n">
        <v>6</v>
      </c>
      <c r="D53" s="53" t="s">
        <v>257</v>
      </c>
      <c r="E53" s="51" t="n">
        <v>20</v>
      </c>
      <c r="F53" s="36"/>
      <c r="G53" s="35" t="s">
        <v>69</v>
      </c>
      <c r="H53" s="36"/>
      <c r="I53" s="51"/>
      <c r="J53" s="37" t="s">
        <v>258</v>
      </c>
      <c r="K53" s="37" t="s">
        <v>259</v>
      </c>
      <c r="L53" s="37" t="s">
        <v>144</v>
      </c>
      <c r="M53" s="35"/>
    </row>
    <row r="54" customFormat="false" ht="75" hidden="false" customHeight="true" outlineLevel="0" collapsed="false">
      <c r="A54" s="51" t="n">
        <v>50</v>
      </c>
      <c r="B54" s="52" t="n">
        <f aca="false">Dashboard!$B$5+(A54-1)*7</f>
        <v>46636</v>
      </c>
      <c r="C54" s="51" t="n">
        <v>6</v>
      </c>
      <c r="D54" s="53" t="s">
        <v>260</v>
      </c>
      <c r="E54" s="51" t="n">
        <v>20</v>
      </c>
      <c r="F54" s="36"/>
      <c r="G54" s="35" t="s">
        <v>69</v>
      </c>
      <c r="H54" s="36"/>
      <c r="I54" s="51" t="s">
        <v>261</v>
      </c>
      <c r="J54" s="37" t="s">
        <v>262</v>
      </c>
      <c r="K54" s="37" t="s">
        <v>263</v>
      </c>
      <c r="L54" s="37" t="s">
        <v>144</v>
      </c>
      <c r="M54" s="35"/>
    </row>
    <row r="55" customFormat="false" ht="75" hidden="false" customHeight="true" outlineLevel="0" collapsed="false">
      <c r="A55" s="51" t="n">
        <v>51</v>
      </c>
      <c r="B55" s="52" t="n">
        <f aca="false">Dashboard!$B$5+(A55-1)*7</f>
        <v>46643</v>
      </c>
      <c r="C55" s="51" t="n">
        <v>6</v>
      </c>
      <c r="D55" s="53" t="s">
        <v>264</v>
      </c>
      <c r="E55" s="51" t="n">
        <v>20</v>
      </c>
      <c r="F55" s="36"/>
      <c r="G55" s="35" t="s">
        <v>69</v>
      </c>
      <c r="H55" s="36"/>
      <c r="I55" s="51" t="s">
        <v>261</v>
      </c>
      <c r="J55" s="37" t="s">
        <v>265</v>
      </c>
      <c r="K55" s="37" t="s">
        <v>266</v>
      </c>
      <c r="L55" s="37" t="s">
        <v>267</v>
      </c>
      <c r="M55" s="35"/>
    </row>
    <row r="56" customFormat="false" ht="75" hidden="false" customHeight="true" outlineLevel="0" collapsed="false">
      <c r="A56" s="51" t="n">
        <v>52</v>
      </c>
      <c r="B56" s="52" t="n">
        <f aca="false">Dashboard!$B$5+(A56-1)*7</f>
        <v>46650</v>
      </c>
      <c r="C56" s="51" t="n">
        <v>6</v>
      </c>
      <c r="D56" s="53" t="s">
        <v>268</v>
      </c>
      <c r="E56" s="51" t="n">
        <v>20</v>
      </c>
      <c r="F56" s="36"/>
      <c r="G56" s="35" t="s">
        <v>69</v>
      </c>
      <c r="H56" s="36"/>
      <c r="I56" s="51"/>
      <c r="J56" s="37" t="s">
        <v>269</v>
      </c>
      <c r="K56" s="37" t="s">
        <v>270</v>
      </c>
      <c r="L56" s="37" t="s">
        <v>144</v>
      </c>
      <c r="M56" s="35"/>
    </row>
    <row r="57" customFormat="false" ht="75" hidden="false" customHeight="true" outlineLevel="0" collapsed="false">
      <c r="A57" s="51" t="n">
        <v>53</v>
      </c>
      <c r="B57" s="52" t="n">
        <f aca="false">Dashboard!$B$5+(A57-1)*7</f>
        <v>46657</v>
      </c>
      <c r="C57" s="51" t="n">
        <v>6</v>
      </c>
      <c r="D57" s="53" t="s">
        <v>271</v>
      </c>
      <c r="E57" s="51" t="n">
        <v>15</v>
      </c>
      <c r="F57" s="36"/>
      <c r="G57" s="35" t="s">
        <v>69</v>
      </c>
      <c r="H57" s="36"/>
      <c r="I57" s="51" t="s">
        <v>272</v>
      </c>
      <c r="J57" s="37" t="s">
        <v>273</v>
      </c>
      <c r="K57" s="37" t="s">
        <v>274</v>
      </c>
      <c r="L57" s="37" t="s">
        <v>275</v>
      </c>
      <c r="M57" s="35"/>
    </row>
    <row r="58" customFormat="false" ht="75" hidden="false" customHeight="true" outlineLevel="0" collapsed="false">
      <c r="A58" s="51" t="n">
        <v>54</v>
      </c>
      <c r="B58" s="52" t="n">
        <f aca="false">Dashboard!$B$5+(A58-1)*7</f>
        <v>46664</v>
      </c>
      <c r="C58" s="51" t="n">
        <v>6</v>
      </c>
      <c r="D58" s="53" t="s">
        <v>276</v>
      </c>
      <c r="E58" s="51" t="n">
        <v>20</v>
      </c>
      <c r="F58" s="36"/>
      <c r="G58" s="35" t="s">
        <v>69</v>
      </c>
      <c r="H58" s="36"/>
      <c r="I58" s="51"/>
      <c r="J58" s="37" t="s">
        <v>277</v>
      </c>
      <c r="K58" s="37" t="s">
        <v>278</v>
      </c>
      <c r="L58" s="37" t="s">
        <v>144</v>
      </c>
      <c r="M58" s="35"/>
    </row>
    <row r="59" customFormat="false" ht="75" hidden="false" customHeight="true" outlineLevel="0" collapsed="false">
      <c r="A59" s="51" t="n">
        <v>55</v>
      </c>
      <c r="B59" s="52" t="n">
        <f aca="false">Dashboard!$B$5+(A59-1)*7</f>
        <v>46671</v>
      </c>
      <c r="C59" s="51" t="n">
        <v>6</v>
      </c>
      <c r="D59" s="53" t="s">
        <v>279</v>
      </c>
      <c r="E59" s="51" t="n">
        <v>15</v>
      </c>
      <c r="F59" s="36"/>
      <c r="G59" s="35" t="s">
        <v>69</v>
      </c>
      <c r="H59" s="36"/>
      <c r="I59" s="51"/>
      <c r="J59" s="37" t="s">
        <v>280</v>
      </c>
      <c r="K59" s="37" t="s">
        <v>281</v>
      </c>
      <c r="L59" s="37" t="s">
        <v>282</v>
      </c>
      <c r="M59" s="35"/>
    </row>
    <row r="60" customFormat="false" ht="75" hidden="false" customHeight="true" outlineLevel="0" collapsed="false">
      <c r="A60" s="51" t="n">
        <v>56</v>
      </c>
      <c r="B60" s="52" t="n">
        <f aca="false">Dashboard!$B$5+(A60-1)*7</f>
        <v>46678</v>
      </c>
      <c r="C60" s="51" t="n">
        <v>6</v>
      </c>
      <c r="D60" s="53" t="s">
        <v>283</v>
      </c>
      <c r="E60" s="51" t="n">
        <v>15</v>
      </c>
      <c r="F60" s="36"/>
      <c r="G60" s="35" t="s">
        <v>69</v>
      </c>
      <c r="H60" s="36"/>
      <c r="I60" s="51"/>
      <c r="J60" s="37" t="s">
        <v>284</v>
      </c>
      <c r="K60" s="37" t="s">
        <v>285</v>
      </c>
      <c r="L60" s="37" t="s">
        <v>286</v>
      </c>
      <c r="M60" s="35"/>
    </row>
    <row r="61" customFormat="false" ht="75" hidden="false" customHeight="true" outlineLevel="0" collapsed="false">
      <c r="A61" s="51" t="n">
        <v>57</v>
      </c>
      <c r="B61" s="52" t="n">
        <f aca="false">Dashboard!$B$5+(A61-1)*7</f>
        <v>46685</v>
      </c>
      <c r="C61" s="51" t="n">
        <v>6</v>
      </c>
      <c r="D61" s="53" t="s">
        <v>287</v>
      </c>
      <c r="E61" s="51" t="n">
        <v>15</v>
      </c>
      <c r="F61" s="36"/>
      <c r="G61" s="35" t="s">
        <v>69</v>
      </c>
      <c r="H61" s="36"/>
      <c r="I61" s="51"/>
      <c r="J61" s="37" t="s">
        <v>288</v>
      </c>
      <c r="K61" s="37" t="s">
        <v>289</v>
      </c>
      <c r="L61" s="37" t="s">
        <v>290</v>
      </c>
      <c r="M61" s="35"/>
    </row>
    <row r="62" customFormat="false" ht="75" hidden="false" customHeight="true" outlineLevel="0" collapsed="false">
      <c r="A62" s="54" t="n">
        <v>58</v>
      </c>
      <c r="B62" s="55" t="n">
        <f aca="false">Dashboard!$B$5+(A62-1)*7</f>
        <v>46692</v>
      </c>
      <c r="C62" s="54" t="n">
        <v>7</v>
      </c>
      <c r="D62" s="56" t="s">
        <v>291</v>
      </c>
      <c r="E62" s="54" t="n">
        <v>20</v>
      </c>
      <c r="F62" s="36"/>
      <c r="G62" s="35" t="s">
        <v>69</v>
      </c>
      <c r="H62" s="36"/>
      <c r="I62" s="54" t="s">
        <v>292</v>
      </c>
      <c r="J62" s="37" t="s">
        <v>293</v>
      </c>
      <c r="K62" s="37" t="s">
        <v>294</v>
      </c>
      <c r="L62" s="37" t="s">
        <v>295</v>
      </c>
      <c r="M62" s="35"/>
    </row>
    <row r="63" customFormat="false" ht="75" hidden="false" customHeight="true" outlineLevel="0" collapsed="false">
      <c r="A63" s="54" t="n">
        <v>59</v>
      </c>
      <c r="B63" s="55" t="n">
        <f aca="false">Dashboard!$B$5+(A63-1)*7</f>
        <v>46699</v>
      </c>
      <c r="C63" s="54" t="n">
        <v>7</v>
      </c>
      <c r="D63" s="56" t="s">
        <v>296</v>
      </c>
      <c r="E63" s="54" t="n">
        <v>20</v>
      </c>
      <c r="F63" s="36"/>
      <c r="G63" s="35" t="s">
        <v>69</v>
      </c>
      <c r="H63" s="36"/>
      <c r="I63" s="54" t="s">
        <v>292</v>
      </c>
      <c r="J63" s="37" t="s">
        <v>297</v>
      </c>
      <c r="K63" s="37" t="s">
        <v>298</v>
      </c>
      <c r="L63" s="37" t="s">
        <v>144</v>
      </c>
      <c r="M63" s="35"/>
    </row>
    <row r="64" customFormat="false" ht="75" hidden="false" customHeight="true" outlineLevel="0" collapsed="false">
      <c r="A64" s="54" t="n">
        <v>60</v>
      </c>
      <c r="B64" s="55" t="n">
        <f aca="false">Dashboard!$B$5+(A64-1)*7</f>
        <v>46706</v>
      </c>
      <c r="C64" s="54" t="n">
        <v>7</v>
      </c>
      <c r="D64" s="56" t="s">
        <v>299</v>
      </c>
      <c r="E64" s="54" t="n">
        <v>20</v>
      </c>
      <c r="F64" s="36"/>
      <c r="G64" s="35" t="s">
        <v>69</v>
      </c>
      <c r="H64" s="36"/>
      <c r="I64" s="54" t="s">
        <v>292</v>
      </c>
      <c r="J64" s="37" t="s">
        <v>297</v>
      </c>
      <c r="K64" s="37" t="s">
        <v>300</v>
      </c>
      <c r="L64" s="37" t="s">
        <v>144</v>
      </c>
      <c r="M64" s="35"/>
    </row>
    <row r="65" customFormat="false" ht="75" hidden="false" customHeight="true" outlineLevel="0" collapsed="false">
      <c r="A65" s="54" t="n">
        <v>61</v>
      </c>
      <c r="B65" s="55" t="n">
        <f aca="false">Dashboard!$B$5+(A65-1)*7</f>
        <v>46713</v>
      </c>
      <c r="C65" s="54" t="n">
        <v>7</v>
      </c>
      <c r="D65" s="56" t="s">
        <v>301</v>
      </c>
      <c r="E65" s="54" t="n">
        <v>20</v>
      </c>
      <c r="F65" s="36"/>
      <c r="G65" s="35" t="s">
        <v>69</v>
      </c>
      <c r="H65" s="36"/>
      <c r="I65" s="54" t="s">
        <v>292</v>
      </c>
      <c r="J65" s="37" t="s">
        <v>302</v>
      </c>
      <c r="K65" s="37" t="s">
        <v>303</v>
      </c>
      <c r="L65" s="37" t="s">
        <v>144</v>
      </c>
      <c r="M65" s="35"/>
    </row>
    <row r="66" customFormat="false" ht="75" hidden="false" customHeight="true" outlineLevel="0" collapsed="false">
      <c r="A66" s="54" t="n">
        <v>62</v>
      </c>
      <c r="B66" s="55" t="n">
        <f aca="false">Dashboard!$B$5+(A66-1)*7</f>
        <v>46720</v>
      </c>
      <c r="C66" s="54" t="n">
        <v>7</v>
      </c>
      <c r="D66" s="56" t="s">
        <v>304</v>
      </c>
      <c r="E66" s="54" t="n">
        <v>20</v>
      </c>
      <c r="F66" s="36"/>
      <c r="G66" s="35" t="s">
        <v>69</v>
      </c>
      <c r="H66" s="36"/>
      <c r="I66" s="54" t="s">
        <v>292</v>
      </c>
      <c r="J66" s="37" t="s">
        <v>305</v>
      </c>
      <c r="K66" s="37" t="s">
        <v>306</v>
      </c>
      <c r="L66" s="37" t="s">
        <v>307</v>
      </c>
      <c r="M66" s="35"/>
    </row>
    <row r="67" customFormat="false" ht="75" hidden="false" customHeight="true" outlineLevel="0" collapsed="false">
      <c r="A67" s="54" t="n">
        <v>63</v>
      </c>
      <c r="B67" s="55" t="n">
        <f aca="false">Dashboard!$B$5+(A67-1)*7</f>
        <v>46727</v>
      </c>
      <c r="C67" s="54" t="n">
        <v>7</v>
      </c>
      <c r="D67" s="56" t="s">
        <v>308</v>
      </c>
      <c r="E67" s="54" t="n">
        <v>15</v>
      </c>
      <c r="F67" s="36"/>
      <c r="G67" s="35" t="s">
        <v>69</v>
      </c>
      <c r="H67" s="36"/>
      <c r="I67" s="54"/>
      <c r="J67" s="37" t="s">
        <v>309</v>
      </c>
      <c r="K67" s="37" t="s">
        <v>310</v>
      </c>
      <c r="L67" s="37" t="s">
        <v>311</v>
      </c>
      <c r="M67" s="35"/>
    </row>
    <row r="68" customFormat="false" ht="75" hidden="false" customHeight="true" outlineLevel="0" collapsed="false">
      <c r="A68" s="54" t="n">
        <v>64</v>
      </c>
      <c r="B68" s="55" t="n">
        <f aca="false">Dashboard!$B$5+(A68-1)*7</f>
        <v>46734</v>
      </c>
      <c r="C68" s="54" t="n">
        <v>7</v>
      </c>
      <c r="D68" s="56" t="s">
        <v>312</v>
      </c>
      <c r="E68" s="54" t="n">
        <v>15</v>
      </c>
      <c r="F68" s="36"/>
      <c r="G68" s="35" t="s">
        <v>69</v>
      </c>
      <c r="H68" s="36"/>
      <c r="I68" s="54"/>
      <c r="J68" s="37" t="s">
        <v>297</v>
      </c>
      <c r="K68" s="37" t="s">
        <v>313</v>
      </c>
      <c r="L68" s="37" t="s">
        <v>314</v>
      </c>
      <c r="M68" s="35"/>
    </row>
    <row r="69" customFormat="false" ht="15" hidden="false" customHeight="false" outlineLevel="0" collapsed="false">
      <c r="D69" s="57" t="s">
        <v>315</v>
      </c>
      <c r="E69" s="57" t="n">
        <f aca="false">SUM(E5:E68)</f>
        <v>1225</v>
      </c>
      <c r="F69" s="57" t="n">
        <f aca="false">SUM(F5:F68)</f>
        <v>20</v>
      </c>
    </row>
  </sheetData>
  <autoFilter ref="A4:M68"/>
  <conditionalFormatting sqref="G5:G68">
    <cfRule type="cellIs" priority="2" operator="equal" aboveAverage="0" equalAverage="0" bottom="0" percent="0" rank="0" text="" dxfId="15">
      <formula>"Done"</formula>
    </cfRule>
    <cfRule type="cellIs" priority="3" operator="equal" aboveAverage="0" equalAverage="0" bottom="0" percent="0" rank="0" text="" dxfId="16">
      <formula>"In progress"</formula>
    </cfRule>
    <cfRule type="cellIs" priority="4" operator="equal" aboveAverage="0" equalAverage="0" bottom="0" percent="0" rank="0" text="" dxfId="17">
      <formula>"Behind"</formula>
    </cfRule>
  </conditionalFormatting>
  <conditionalFormatting sqref="A5:A68">
    <cfRule type="expression" priority="5" aboveAverage="0" equalAverage="0" bottom="0" percent="0" rank="0" text="" dxfId="18">
      <formula>AND(Dashboard!$B$8&gt;=$B5,Dashboard!$B$8&lt;$B5+7)</formula>
    </cfRule>
  </conditionalFormatting>
  <dataValidations count="2">
    <dataValidation allowBlank="true" errorStyle="stop" operator="between" showDropDown="false" showErrorMessage="false" showInputMessage="false" sqref="G5:G68" type="list">
      <formula1>"Not started,In progress,Done,Skipped,Behind"</formula1>
      <formula2>0</formula2>
    </dataValidation>
    <dataValidation allowBlank="true" errorStyle="stop" operator="between" showDropDown="false" showErrorMessage="false" showInputMessage="false" sqref="H5:H6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3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46"/>
  </cols>
  <sheetData>
    <row r="1" customFormat="false" ht="19.7" hidden="false" customHeight="false" outlineLevel="0" collapsed="false">
      <c r="A1" s="1" t="s">
        <v>316</v>
      </c>
    </row>
    <row r="2" customFormat="false" ht="15" hidden="false" customHeight="false" outlineLevel="0" collapsed="false">
      <c r="A2" s="2" t="s">
        <v>317</v>
      </c>
    </row>
    <row r="4" customFormat="false" ht="31.5" hidden="false" customHeight="true" outlineLevel="0" collapsed="false">
      <c r="A4" s="30" t="s">
        <v>318</v>
      </c>
      <c r="B4" s="30" t="s">
        <v>57</v>
      </c>
      <c r="C4" s="30" t="s">
        <v>319</v>
      </c>
      <c r="D4" s="30" t="s">
        <v>320</v>
      </c>
      <c r="E4" s="30" t="s">
        <v>55</v>
      </c>
      <c r="F4" s="30" t="s">
        <v>321</v>
      </c>
      <c r="G4" s="30" t="s">
        <v>322</v>
      </c>
      <c r="H4" s="30" t="s">
        <v>323</v>
      </c>
      <c r="I4" s="30" t="s">
        <v>324</v>
      </c>
      <c r="J4" s="30" t="s">
        <v>325</v>
      </c>
      <c r="K4" s="30" t="s">
        <v>326</v>
      </c>
      <c r="L4" s="30" t="s">
        <v>327</v>
      </c>
    </row>
    <row r="5" customFormat="false" ht="48" hidden="false" customHeight="true" outlineLevel="0" collapsed="false">
      <c r="A5" s="58" t="s">
        <v>74</v>
      </c>
      <c r="B5" s="37" t="s">
        <v>328</v>
      </c>
      <c r="C5" s="37" t="s">
        <v>329</v>
      </c>
      <c r="D5" s="37" t="s">
        <v>330</v>
      </c>
      <c r="E5" s="35" t="s">
        <v>331</v>
      </c>
      <c r="F5" s="59" t="n">
        <v>46307</v>
      </c>
      <c r="G5" s="59"/>
      <c r="H5" s="35" t="s">
        <v>332</v>
      </c>
      <c r="I5" s="35" t="s">
        <v>333</v>
      </c>
      <c r="J5" s="35" t="s">
        <v>333</v>
      </c>
      <c r="K5" s="38" t="s">
        <v>334</v>
      </c>
      <c r="L5" s="37" t="s">
        <v>335</v>
      </c>
    </row>
    <row r="6" customFormat="false" ht="48" hidden="false" customHeight="true" outlineLevel="0" collapsed="false">
      <c r="A6" s="58" t="s">
        <v>91</v>
      </c>
      <c r="B6" s="37" t="s">
        <v>336</v>
      </c>
      <c r="C6" s="37" t="s">
        <v>337</v>
      </c>
      <c r="D6" s="37" t="s">
        <v>338</v>
      </c>
      <c r="E6" s="35" t="s">
        <v>69</v>
      </c>
      <c r="F6" s="59"/>
      <c r="G6" s="59"/>
      <c r="H6" s="35"/>
      <c r="I6" s="35" t="s">
        <v>333</v>
      </c>
      <c r="J6" s="35" t="s">
        <v>333</v>
      </c>
      <c r="K6" s="35"/>
      <c r="L6" s="37" t="s">
        <v>339</v>
      </c>
    </row>
    <row r="7" customFormat="false" ht="48" hidden="false" customHeight="true" outlineLevel="0" collapsed="false">
      <c r="A7" s="58" t="s">
        <v>112</v>
      </c>
      <c r="B7" s="37" t="s">
        <v>340</v>
      </c>
      <c r="C7" s="37" t="s">
        <v>341</v>
      </c>
      <c r="D7" s="37" t="s">
        <v>342</v>
      </c>
      <c r="E7" s="35" t="s">
        <v>69</v>
      </c>
      <c r="F7" s="59"/>
      <c r="G7" s="59"/>
      <c r="H7" s="35"/>
      <c r="I7" s="35" t="s">
        <v>333</v>
      </c>
      <c r="J7" s="35" t="s">
        <v>333</v>
      </c>
      <c r="K7" s="35"/>
      <c r="L7" s="37" t="s">
        <v>343</v>
      </c>
    </row>
    <row r="8" customFormat="false" ht="48" hidden="false" customHeight="true" outlineLevel="0" collapsed="false">
      <c r="A8" s="58" t="s">
        <v>137</v>
      </c>
      <c r="B8" s="37" t="s">
        <v>344</v>
      </c>
      <c r="C8" s="37" t="s">
        <v>345</v>
      </c>
      <c r="D8" s="37" t="s">
        <v>346</v>
      </c>
      <c r="E8" s="35" t="s">
        <v>69</v>
      </c>
      <c r="F8" s="59"/>
      <c r="G8" s="59"/>
      <c r="H8" s="35"/>
      <c r="I8" s="35" t="s">
        <v>333</v>
      </c>
      <c r="J8" s="35" t="s">
        <v>333</v>
      </c>
      <c r="K8" s="35"/>
      <c r="L8" s="37" t="s">
        <v>347</v>
      </c>
    </row>
    <row r="9" customFormat="false" ht="48" hidden="false" customHeight="true" outlineLevel="0" collapsed="false">
      <c r="A9" s="58" t="s">
        <v>154</v>
      </c>
      <c r="B9" s="37" t="s">
        <v>348</v>
      </c>
      <c r="C9" s="37" t="s">
        <v>349</v>
      </c>
      <c r="D9" s="37" t="s">
        <v>350</v>
      </c>
      <c r="E9" s="35" t="s">
        <v>69</v>
      </c>
      <c r="F9" s="59"/>
      <c r="G9" s="59"/>
      <c r="H9" s="35"/>
      <c r="I9" s="35" t="s">
        <v>333</v>
      </c>
      <c r="J9" s="35" t="s">
        <v>333</v>
      </c>
      <c r="K9" s="35"/>
      <c r="L9" s="37" t="s">
        <v>351</v>
      </c>
    </row>
    <row r="10" customFormat="false" ht="48" hidden="false" customHeight="true" outlineLevel="0" collapsed="false">
      <c r="A10" s="58" t="s">
        <v>174</v>
      </c>
      <c r="B10" s="37" t="s">
        <v>352</v>
      </c>
      <c r="C10" s="37" t="s">
        <v>353</v>
      </c>
      <c r="D10" s="37" t="s">
        <v>354</v>
      </c>
      <c r="E10" s="35" t="s">
        <v>69</v>
      </c>
      <c r="F10" s="59"/>
      <c r="G10" s="59"/>
      <c r="H10" s="35"/>
      <c r="I10" s="35" t="s">
        <v>333</v>
      </c>
      <c r="J10" s="35" t="s">
        <v>333</v>
      </c>
      <c r="K10" s="35"/>
      <c r="L10" s="37" t="s">
        <v>355</v>
      </c>
    </row>
    <row r="11" customFormat="false" ht="48" hidden="false" customHeight="true" outlineLevel="0" collapsed="false">
      <c r="A11" s="58" t="s">
        <v>193</v>
      </c>
      <c r="B11" s="37" t="s">
        <v>356</v>
      </c>
      <c r="C11" s="37" t="s">
        <v>357</v>
      </c>
      <c r="D11" s="37" t="s">
        <v>358</v>
      </c>
      <c r="E11" s="35" t="s">
        <v>69</v>
      </c>
      <c r="F11" s="59"/>
      <c r="G11" s="59"/>
      <c r="H11" s="35"/>
      <c r="I11" s="35" t="s">
        <v>333</v>
      </c>
      <c r="J11" s="35" t="s">
        <v>333</v>
      </c>
      <c r="K11" s="35"/>
      <c r="L11" s="37" t="s">
        <v>359</v>
      </c>
    </row>
    <row r="12" customFormat="false" ht="48" hidden="false" customHeight="true" outlineLevel="0" collapsed="false">
      <c r="A12" s="58" t="s">
        <v>201</v>
      </c>
      <c r="B12" s="37" t="s">
        <v>360</v>
      </c>
      <c r="C12" s="37" t="s">
        <v>361</v>
      </c>
      <c r="D12" s="37" t="s">
        <v>362</v>
      </c>
      <c r="E12" s="35" t="s">
        <v>69</v>
      </c>
      <c r="F12" s="59"/>
      <c r="G12" s="59"/>
      <c r="H12" s="35"/>
      <c r="I12" s="35" t="s">
        <v>333</v>
      </c>
      <c r="J12" s="35" t="s">
        <v>333</v>
      </c>
      <c r="K12" s="35"/>
      <c r="L12" s="37" t="s">
        <v>363</v>
      </c>
    </row>
    <row r="13" customFormat="false" ht="48" hidden="false" customHeight="true" outlineLevel="0" collapsed="false">
      <c r="A13" s="58" t="s">
        <v>214</v>
      </c>
      <c r="B13" s="37" t="s">
        <v>364</v>
      </c>
      <c r="C13" s="37" t="s">
        <v>365</v>
      </c>
      <c r="D13" s="37" t="s">
        <v>366</v>
      </c>
      <c r="E13" s="35" t="s">
        <v>69</v>
      </c>
      <c r="F13" s="59"/>
      <c r="G13" s="59"/>
      <c r="H13" s="35"/>
      <c r="I13" s="35" t="s">
        <v>333</v>
      </c>
      <c r="J13" s="35" t="s">
        <v>333</v>
      </c>
      <c r="K13" s="35"/>
      <c r="L13" s="37" t="s">
        <v>367</v>
      </c>
    </row>
    <row r="14" customFormat="false" ht="48" hidden="false" customHeight="true" outlineLevel="0" collapsed="false">
      <c r="A14" s="58" t="s">
        <v>231</v>
      </c>
      <c r="B14" s="37" t="s">
        <v>368</v>
      </c>
      <c r="C14" s="37" t="s">
        <v>369</v>
      </c>
      <c r="D14" s="37" t="s">
        <v>370</v>
      </c>
      <c r="E14" s="35" t="s">
        <v>69</v>
      </c>
      <c r="F14" s="59"/>
      <c r="G14" s="59"/>
      <c r="H14" s="35"/>
      <c r="I14" s="35" t="s">
        <v>333</v>
      </c>
      <c r="J14" s="35" t="s">
        <v>333</v>
      </c>
      <c r="K14" s="35"/>
      <c r="L14" s="37" t="s">
        <v>371</v>
      </c>
    </row>
    <row r="15" customFormat="false" ht="48" hidden="false" customHeight="true" outlineLevel="0" collapsed="false">
      <c r="A15" s="58" t="s">
        <v>249</v>
      </c>
      <c r="B15" s="37" t="s">
        <v>372</v>
      </c>
      <c r="C15" s="37" t="s">
        <v>373</v>
      </c>
      <c r="D15" s="37" t="s">
        <v>374</v>
      </c>
      <c r="E15" s="35" t="s">
        <v>69</v>
      </c>
      <c r="F15" s="59"/>
      <c r="G15" s="59"/>
      <c r="H15" s="35"/>
      <c r="I15" s="35" t="s">
        <v>333</v>
      </c>
      <c r="J15" s="35" t="s">
        <v>333</v>
      </c>
      <c r="K15" s="35"/>
      <c r="L15" s="37" t="s">
        <v>375</v>
      </c>
    </row>
    <row r="16" customFormat="false" ht="48" hidden="false" customHeight="true" outlineLevel="0" collapsed="false">
      <c r="A16" s="58" t="s">
        <v>261</v>
      </c>
      <c r="B16" s="37" t="s">
        <v>376</v>
      </c>
      <c r="C16" s="37" t="s">
        <v>377</v>
      </c>
      <c r="D16" s="37" t="s">
        <v>378</v>
      </c>
      <c r="E16" s="35" t="s">
        <v>69</v>
      </c>
      <c r="F16" s="59"/>
      <c r="G16" s="59"/>
      <c r="H16" s="35"/>
      <c r="I16" s="35" t="s">
        <v>333</v>
      </c>
      <c r="J16" s="35" t="s">
        <v>333</v>
      </c>
      <c r="K16" s="35"/>
      <c r="L16" s="37" t="s">
        <v>379</v>
      </c>
    </row>
    <row r="17" customFormat="false" ht="48" hidden="false" customHeight="true" outlineLevel="0" collapsed="false">
      <c r="A17" s="58" t="s">
        <v>272</v>
      </c>
      <c r="B17" s="37" t="s">
        <v>380</v>
      </c>
      <c r="C17" s="37" t="s">
        <v>381</v>
      </c>
      <c r="D17" s="37" t="s">
        <v>382</v>
      </c>
      <c r="E17" s="35" t="s">
        <v>69</v>
      </c>
      <c r="F17" s="59"/>
      <c r="G17" s="59"/>
      <c r="H17" s="35"/>
      <c r="I17" s="35" t="s">
        <v>333</v>
      </c>
      <c r="J17" s="35" t="s">
        <v>333</v>
      </c>
      <c r="K17" s="35"/>
      <c r="L17" s="37" t="s">
        <v>383</v>
      </c>
    </row>
    <row r="18" customFormat="false" ht="48" hidden="false" customHeight="true" outlineLevel="0" collapsed="false">
      <c r="A18" s="58" t="s">
        <v>292</v>
      </c>
      <c r="B18" s="37" t="s">
        <v>384</v>
      </c>
      <c r="C18" s="37" t="s">
        <v>385</v>
      </c>
      <c r="D18" s="37" t="s">
        <v>386</v>
      </c>
      <c r="E18" s="35" t="s">
        <v>69</v>
      </c>
      <c r="F18" s="59"/>
      <c r="G18" s="59"/>
      <c r="H18" s="35"/>
      <c r="I18" s="35" t="s">
        <v>333</v>
      </c>
      <c r="J18" s="35" t="s">
        <v>333</v>
      </c>
      <c r="K18" s="35"/>
      <c r="L18" s="37" t="s">
        <v>387</v>
      </c>
    </row>
  </sheetData>
  <conditionalFormatting sqref="E5:E18">
    <cfRule type="cellIs" priority="2" operator="equal" aboveAverage="0" equalAverage="0" bottom="0" percent="0" rank="0" text="" dxfId="15">
      <formula>"Done"</formula>
    </cfRule>
    <cfRule type="cellIs" priority="3" operator="equal" aboveAverage="0" equalAverage="0" bottom="0" percent="0" rank="0" text="" dxfId="16">
      <formula>"In progress"</formula>
    </cfRule>
  </conditionalFormatting>
  <conditionalFormatting sqref="I5:J18">
    <cfRule type="cellIs" priority="4" operator="equal" aboveAverage="0" equalAverage="0" bottom="0" percent="0" rank="0" text="" dxfId="15">
      <formula>"Yes"</formula>
    </cfRule>
  </conditionalFormatting>
  <dataValidations count="2">
    <dataValidation allowBlank="true" errorStyle="stop" operator="between" showDropDown="false" showErrorMessage="false" showInputMessage="false" sqref="E5:E18" type="list">
      <formula1>"Not started,In progress,Done,On hold"</formula1>
      <formula2>0</formula2>
    </dataValidation>
    <dataValidation allowBlank="true" errorStyle="stop" operator="between" showDropDown="false" showErrorMessage="false" showInputMessage="false" sqref="I5:J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389</v>
      </c>
    </row>
    <row r="4" customFormat="false" ht="31.5" hidden="false" customHeight="true" outlineLevel="0" collapsed="false">
      <c r="A4" s="30" t="s">
        <v>390</v>
      </c>
      <c r="B4" s="30" t="s">
        <v>391</v>
      </c>
      <c r="C4" s="30" t="s">
        <v>392</v>
      </c>
      <c r="D4" s="30" t="s">
        <v>393</v>
      </c>
      <c r="E4" s="30" t="s">
        <v>394</v>
      </c>
      <c r="F4" s="30" t="s">
        <v>395</v>
      </c>
      <c r="G4" s="30" t="s">
        <v>396</v>
      </c>
      <c r="H4" s="30" t="s">
        <v>55</v>
      </c>
      <c r="I4" s="30" t="s">
        <v>397</v>
      </c>
    </row>
    <row r="5" customFormat="false" ht="15" hidden="false" customHeight="false" outlineLevel="0" collapsed="false">
      <c r="A5" s="37" t="s">
        <v>398</v>
      </c>
      <c r="B5" s="37" t="s">
        <v>399</v>
      </c>
      <c r="C5" s="60" t="n">
        <v>5</v>
      </c>
      <c r="D5" s="36"/>
      <c r="E5" s="36"/>
      <c r="F5" s="36"/>
      <c r="G5" s="36"/>
      <c r="H5" s="60" t="str">
        <f aca="false">IF(COUNT(D5:G5)=0,"Not rated",IF(IF(G5&lt;&gt;"",G5,IF(F5&lt;&gt;"",F5,IF(E5&lt;&gt;"",E5,D5)))&gt;=C5,"At target","Below target"))</f>
        <v>Not rated</v>
      </c>
      <c r="I5" s="35"/>
    </row>
    <row r="6" customFormat="false" ht="15" hidden="false" customHeight="false" outlineLevel="0" collapsed="false">
      <c r="A6" s="37" t="s">
        <v>398</v>
      </c>
      <c r="B6" s="37" t="s">
        <v>400</v>
      </c>
      <c r="C6" s="60" t="n">
        <v>4</v>
      </c>
      <c r="D6" s="36"/>
      <c r="E6" s="36"/>
      <c r="F6" s="36"/>
      <c r="G6" s="36"/>
      <c r="H6" s="60" t="str">
        <f aca="false">IF(COUNT(D6:G6)=0,"Not rated",IF(IF(G6&lt;&gt;"",G6,IF(F6&lt;&gt;"",F6,IF(E6&lt;&gt;"",E6,D6)))&gt;=C6,"At target","Below target"))</f>
        <v>Not rated</v>
      </c>
      <c r="I6" s="35"/>
    </row>
    <row r="7" customFormat="false" ht="15" hidden="false" customHeight="false" outlineLevel="0" collapsed="false">
      <c r="A7" s="37" t="s">
        <v>401</v>
      </c>
      <c r="B7" s="37" t="s">
        <v>402</v>
      </c>
      <c r="C7" s="60" t="n">
        <v>5</v>
      </c>
      <c r="D7" s="36"/>
      <c r="E7" s="36"/>
      <c r="F7" s="36"/>
      <c r="G7" s="36"/>
      <c r="H7" s="60" t="str">
        <f aca="false">IF(COUNT(D7:G7)=0,"Not rated",IF(IF(G7&lt;&gt;"",G7,IF(F7&lt;&gt;"",F7,IF(E7&lt;&gt;"",E7,D7)))&gt;=C7,"At target","Below target"))</f>
        <v>Not rated</v>
      </c>
      <c r="I7" s="35"/>
    </row>
    <row r="8" customFormat="false" ht="15" hidden="false" customHeight="false" outlineLevel="0" collapsed="false">
      <c r="A8" s="37" t="s">
        <v>401</v>
      </c>
      <c r="B8" s="37" t="s">
        <v>403</v>
      </c>
      <c r="C8" s="60" t="n">
        <v>4</v>
      </c>
      <c r="D8" s="36"/>
      <c r="E8" s="36"/>
      <c r="F8" s="36"/>
      <c r="G8" s="36"/>
      <c r="H8" s="60" t="str">
        <f aca="false">IF(COUNT(D8:G8)=0,"Not rated",IF(IF(G8&lt;&gt;"",G8,IF(F8&lt;&gt;"",F8,IF(E8&lt;&gt;"",E8,D8)))&gt;=C8,"At target","Below target"))</f>
        <v>Not rated</v>
      </c>
      <c r="I8" s="35"/>
    </row>
    <row r="9" customFormat="false" ht="15" hidden="false" customHeight="false" outlineLevel="0" collapsed="false">
      <c r="A9" s="37" t="s">
        <v>404</v>
      </c>
      <c r="B9" s="37" t="s">
        <v>405</v>
      </c>
      <c r="C9" s="60" t="n">
        <v>4</v>
      </c>
      <c r="D9" s="36"/>
      <c r="E9" s="36"/>
      <c r="F9" s="36"/>
      <c r="G9" s="36"/>
      <c r="H9" s="60" t="str">
        <f aca="false">IF(COUNT(D9:G9)=0,"Not rated",IF(IF(G9&lt;&gt;"",G9,IF(F9&lt;&gt;"",F9,IF(E9&lt;&gt;"",E9,D9)))&gt;=C9,"At target","Below target"))</f>
        <v>Not rated</v>
      </c>
      <c r="I9" s="35"/>
    </row>
    <row r="10" customFormat="false" ht="15" hidden="false" customHeight="false" outlineLevel="0" collapsed="false">
      <c r="A10" s="37" t="s">
        <v>404</v>
      </c>
      <c r="B10" s="37" t="s">
        <v>406</v>
      </c>
      <c r="C10" s="60" t="n">
        <v>4</v>
      </c>
      <c r="D10" s="36"/>
      <c r="E10" s="36"/>
      <c r="F10" s="36"/>
      <c r="G10" s="36"/>
      <c r="H10" s="60" t="str">
        <f aca="false">IF(COUNT(D10:G10)=0,"Not rated",IF(IF(G10&lt;&gt;"",G10,IF(F10&lt;&gt;"",F10,IF(E10&lt;&gt;"",E10,D10)))&gt;=C10,"At target","Below target"))</f>
        <v>Not rated</v>
      </c>
      <c r="I10" s="35"/>
    </row>
    <row r="11" customFormat="false" ht="15" hidden="false" customHeight="false" outlineLevel="0" collapsed="false">
      <c r="A11" s="37" t="s">
        <v>404</v>
      </c>
      <c r="B11" s="37" t="s">
        <v>407</v>
      </c>
      <c r="C11" s="60" t="n">
        <v>3</v>
      </c>
      <c r="D11" s="36"/>
      <c r="E11" s="36"/>
      <c r="F11" s="36"/>
      <c r="G11" s="36"/>
      <c r="H11" s="60" t="str">
        <f aca="false">IF(COUNT(D11:G11)=0,"Not rated",IF(IF(G11&lt;&gt;"",G11,IF(F11&lt;&gt;"",F11,IF(E11&lt;&gt;"",E11,D11)))&gt;=C11,"At target","Below target"))</f>
        <v>Not rated</v>
      </c>
      <c r="I11" s="35"/>
    </row>
    <row r="12" customFormat="false" ht="15" hidden="false" customHeight="false" outlineLevel="0" collapsed="false">
      <c r="A12" s="37" t="s">
        <v>408</v>
      </c>
      <c r="B12" s="37" t="s">
        <v>409</v>
      </c>
      <c r="C12" s="60" t="n">
        <v>5</v>
      </c>
      <c r="D12" s="36"/>
      <c r="E12" s="36"/>
      <c r="F12" s="36"/>
      <c r="G12" s="36"/>
      <c r="H12" s="60" t="str">
        <f aca="false">IF(COUNT(D12:G12)=0,"Not rated",IF(IF(G12&lt;&gt;"",G12,IF(F12&lt;&gt;"",F12,IF(E12&lt;&gt;"",E12,D12)))&gt;=C12,"At target","Below target"))</f>
        <v>Not rated</v>
      </c>
      <c r="I12" s="35"/>
    </row>
    <row r="13" customFormat="false" ht="15" hidden="false" customHeight="false" outlineLevel="0" collapsed="false">
      <c r="A13" s="37" t="s">
        <v>408</v>
      </c>
      <c r="B13" s="37" t="s">
        <v>410</v>
      </c>
      <c r="C13" s="60" t="n">
        <v>5</v>
      </c>
      <c r="D13" s="36"/>
      <c r="E13" s="36"/>
      <c r="F13" s="36"/>
      <c r="G13" s="36"/>
      <c r="H13" s="60" t="str">
        <f aca="false">IF(COUNT(D13:G13)=0,"Not rated",IF(IF(G13&lt;&gt;"",G13,IF(F13&lt;&gt;"",F13,IF(E13&lt;&gt;"",E13,D13)))&gt;=C13,"At target","Below target"))</f>
        <v>Not rated</v>
      </c>
      <c r="I13" s="35"/>
    </row>
    <row r="14" customFormat="false" ht="15" hidden="false" customHeight="false" outlineLevel="0" collapsed="false">
      <c r="A14" s="37" t="s">
        <v>408</v>
      </c>
      <c r="B14" s="37" t="s">
        <v>411</v>
      </c>
      <c r="C14" s="60" t="n">
        <v>4</v>
      </c>
      <c r="D14" s="36"/>
      <c r="E14" s="36"/>
      <c r="F14" s="36"/>
      <c r="G14" s="36"/>
      <c r="H14" s="60" t="str">
        <f aca="false">IF(COUNT(D14:G14)=0,"Not rated",IF(IF(G14&lt;&gt;"",G14,IF(F14&lt;&gt;"",F14,IF(E14&lt;&gt;"",E14,D14)))&gt;=C14,"At target","Below target"))</f>
        <v>Not rated</v>
      </c>
      <c r="I14" s="35"/>
    </row>
    <row r="15" customFormat="false" ht="15" hidden="false" customHeight="false" outlineLevel="0" collapsed="false">
      <c r="A15" s="37" t="s">
        <v>408</v>
      </c>
      <c r="B15" s="37" t="s">
        <v>412</v>
      </c>
      <c r="C15" s="60" t="n">
        <v>5</v>
      </c>
      <c r="D15" s="36"/>
      <c r="E15" s="36"/>
      <c r="F15" s="36"/>
      <c r="G15" s="36"/>
      <c r="H15" s="60" t="str">
        <f aca="false">IF(COUNT(D15:G15)=0,"Not rated",IF(IF(G15&lt;&gt;"",G15,IF(F15&lt;&gt;"",F15,IF(E15&lt;&gt;"",E15,D15)))&gt;=C15,"At target","Below target"))</f>
        <v>Not rated</v>
      </c>
      <c r="I15" s="35"/>
    </row>
    <row r="16" customFormat="false" ht="15" hidden="false" customHeight="false" outlineLevel="0" collapsed="false">
      <c r="A16" s="37" t="s">
        <v>408</v>
      </c>
      <c r="B16" s="37" t="s">
        <v>413</v>
      </c>
      <c r="C16" s="60" t="n">
        <v>4</v>
      </c>
      <c r="D16" s="36"/>
      <c r="E16" s="36"/>
      <c r="F16" s="36"/>
      <c r="G16" s="36"/>
      <c r="H16" s="60" t="str">
        <f aca="false">IF(COUNT(D16:G16)=0,"Not rated",IF(IF(G16&lt;&gt;"",G16,IF(F16&lt;&gt;"",F16,IF(E16&lt;&gt;"",E16,D16)))&gt;=C16,"At target","Below target"))</f>
        <v>Not rated</v>
      </c>
      <c r="I16" s="35"/>
    </row>
    <row r="17" customFormat="false" ht="15" hidden="false" customHeight="false" outlineLevel="0" collapsed="false">
      <c r="A17" s="37" t="s">
        <v>414</v>
      </c>
      <c r="B17" s="37" t="s">
        <v>415</v>
      </c>
      <c r="C17" s="60" t="n">
        <v>5</v>
      </c>
      <c r="D17" s="36"/>
      <c r="E17" s="36"/>
      <c r="F17" s="36"/>
      <c r="G17" s="36"/>
      <c r="H17" s="60" t="str">
        <f aca="false">IF(COUNT(D17:G17)=0,"Not rated",IF(IF(G17&lt;&gt;"",G17,IF(F17&lt;&gt;"",F17,IF(E17&lt;&gt;"",E17,D17)))&gt;=C17,"At target","Below target"))</f>
        <v>Not rated</v>
      </c>
      <c r="I17" s="35"/>
    </row>
    <row r="18" customFormat="false" ht="15" hidden="false" customHeight="false" outlineLevel="0" collapsed="false">
      <c r="A18" s="37" t="s">
        <v>414</v>
      </c>
      <c r="B18" s="37" t="s">
        <v>416</v>
      </c>
      <c r="C18" s="60" t="n">
        <v>4</v>
      </c>
      <c r="D18" s="36"/>
      <c r="E18" s="36"/>
      <c r="F18" s="36"/>
      <c r="G18" s="36"/>
      <c r="H18" s="60" t="str">
        <f aca="false">IF(COUNT(D18:G18)=0,"Not rated",IF(IF(G18&lt;&gt;"",G18,IF(F18&lt;&gt;"",F18,IF(E18&lt;&gt;"",E18,D18)))&gt;=C18,"At target","Below target"))</f>
        <v>Not rated</v>
      </c>
      <c r="I18" s="35"/>
    </row>
    <row r="19" customFormat="false" ht="15" hidden="false" customHeight="false" outlineLevel="0" collapsed="false">
      <c r="A19" s="37" t="s">
        <v>414</v>
      </c>
      <c r="B19" s="37" t="s">
        <v>417</v>
      </c>
      <c r="C19" s="60" t="n">
        <v>3</v>
      </c>
      <c r="D19" s="36"/>
      <c r="E19" s="36"/>
      <c r="F19" s="36"/>
      <c r="G19" s="36"/>
      <c r="H19" s="60" t="str">
        <f aca="false">IF(COUNT(D19:G19)=0,"Not rated",IF(IF(G19&lt;&gt;"",G19,IF(F19&lt;&gt;"",F19,IF(E19&lt;&gt;"",E19,D19)))&gt;=C19,"At target","Below target"))</f>
        <v>Not rated</v>
      </c>
      <c r="I19" s="35"/>
    </row>
    <row r="20" customFormat="false" ht="15" hidden="false" customHeight="false" outlineLevel="0" collapsed="false">
      <c r="A20" s="37" t="s">
        <v>414</v>
      </c>
      <c r="B20" s="37" t="s">
        <v>418</v>
      </c>
      <c r="C20" s="60" t="n">
        <v>4</v>
      </c>
      <c r="D20" s="36"/>
      <c r="E20" s="36"/>
      <c r="F20" s="36"/>
      <c r="G20" s="36"/>
      <c r="H20" s="60" t="str">
        <f aca="false">IF(COUNT(D20:G20)=0,"Not rated",IF(IF(G20&lt;&gt;"",G20,IF(F20&lt;&gt;"",F20,IF(E20&lt;&gt;"",E20,D20)))&gt;=C20,"At target","Below target"))</f>
        <v>Not rated</v>
      </c>
      <c r="I20" s="35"/>
    </row>
    <row r="21" customFormat="false" ht="15" hidden="false" customHeight="false" outlineLevel="0" collapsed="false">
      <c r="A21" s="37" t="s">
        <v>419</v>
      </c>
      <c r="B21" s="37" t="s">
        <v>420</v>
      </c>
      <c r="C21" s="60" t="n">
        <v>4</v>
      </c>
      <c r="D21" s="36"/>
      <c r="E21" s="36"/>
      <c r="F21" s="36"/>
      <c r="G21" s="36"/>
      <c r="H21" s="60" t="str">
        <f aca="false">IF(COUNT(D21:G21)=0,"Not rated",IF(IF(G21&lt;&gt;"",G21,IF(F21&lt;&gt;"",F21,IF(E21&lt;&gt;"",E21,D21)))&gt;=C21,"At target","Below target"))</f>
        <v>Not rated</v>
      </c>
      <c r="I21" s="35"/>
    </row>
    <row r="22" customFormat="false" ht="15" hidden="false" customHeight="false" outlineLevel="0" collapsed="false">
      <c r="A22" s="37" t="s">
        <v>419</v>
      </c>
      <c r="B22" s="37" t="s">
        <v>421</v>
      </c>
      <c r="C22" s="60" t="n">
        <v>4</v>
      </c>
      <c r="D22" s="36"/>
      <c r="E22" s="36"/>
      <c r="F22" s="36"/>
      <c r="G22" s="36"/>
      <c r="H22" s="60" t="str">
        <f aca="false">IF(COUNT(D22:G22)=0,"Not rated",IF(IF(G22&lt;&gt;"",G22,IF(F22&lt;&gt;"",F22,IF(E22&lt;&gt;"",E22,D22)))&gt;=C22,"At target","Below target"))</f>
        <v>Not rated</v>
      </c>
      <c r="I22" s="35"/>
    </row>
    <row r="23" customFormat="false" ht="15" hidden="false" customHeight="false" outlineLevel="0" collapsed="false">
      <c r="A23" s="37" t="s">
        <v>419</v>
      </c>
      <c r="B23" s="37" t="s">
        <v>422</v>
      </c>
      <c r="C23" s="60" t="n">
        <v>4</v>
      </c>
      <c r="D23" s="36"/>
      <c r="E23" s="36"/>
      <c r="F23" s="36"/>
      <c r="G23" s="36"/>
      <c r="H23" s="60" t="str">
        <f aca="false">IF(COUNT(D23:G23)=0,"Not rated",IF(IF(G23&lt;&gt;"",G23,IF(F23&lt;&gt;"",F23,IF(E23&lt;&gt;"",E23,D23)))&gt;=C23,"At target","Below target"))</f>
        <v>Not rated</v>
      </c>
      <c r="I23" s="35"/>
    </row>
    <row r="24" customFormat="false" ht="15" hidden="false" customHeight="false" outlineLevel="0" collapsed="false">
      <c r="A24" s="37" t="s">
        <v>423</v>
      </c>
      <c r="B24" s="37" t="s">
        <v>424</v>
      </c>
      <c r="C24" s="60" t="n">
        <v>4</v>
      </c>
      <c r="D24" s="36"/>
      <c r="E24" s="36"/>
      <c r="F24" s="36"/>
      <c r="G24" s="36"/>
      <c r="H24" s="60" t="str">
        <f aca="false">IF(COUNT(D24:G24)=0,"Not rated",IF(IF(G24&lt;&gt;"",G24,IF(F24&lt;&gt;"",F24,IF(E24&lt;&gt;"",E24,D24)))&gt;=C24,"At target","Below target"))</f>
        <v>Not rated</v>
      </c>
      <c r="I24" s="35"/>
    </row>
    <row r="25" customFormat="false" ht="15" hidden="false" customHeight="false" outlineLevel="0" collapsed="false">
      <c r="A25" s="37" t="s">
        <v>425</v>
      </c>
      <c r="B25" s="37" t="s">
        <v>209</v>
      </c>
      <c r="C25" s="60" t="n">
        <v>3</v>
      </c>
      <c r="D25" s="36"/>
      <c r="E25" s="36"/>
      <c r="F25" s="36"/>
      <c r="G25" s="36"/>
      <c r="H25" s="60" t="str">
        <f aca="false">IF(COUNT(D25:G25)=0,"Not rated",IF(IF(G25&lt;&gt;"",G25,IF(F25&lt;&gt;"",F25,IF(E25&lt;&gt;"",E25,D25)))&gt;=C25,"At target","Below target"))</f>
        <v>Not rated</v>
      </c>
      <c r="I25" s="35"/>
    </row>
    <row r="26" customFormat="false" ht="15" hidden="false" customHeight="false" outlineLevel="0" collapsed="false">
      <c r="A26" s="37" t="s">
        <v>425</v>
      </c>
      <c r="B26" s="37" t="s">
        <v>213</v>
      </c>
      <c r="C26" s="60" t="n">
        <v>4</v>
      </c>
      <c r="D26" s="36"/>
      <c r="E26" s="36"/>
      <c r="F26" s="36"/>
      <c r="G26" s="36"/>
      <c r="H26" s="60" t="str">
        <f aca="false">IF(COUNT(D26:G26)=0,"Not rated",IF(IF(G26&lt;&gt;"",G26,IF(F26&lt;&gt;"",F26,IF(E26&lt;&gt;"",E26,D26)))&gt;=C26,"At target","Below target"))</f>
        <v>Not rated</v>
      </c>
      <c r="I26" s="35"/>
    </row>
    <row r="27" customFormat="false" ht="15" hidden="false" customHeight="false" outlineLevel="0" collapsed="false">
      <c r="A27" s="37" t="s">
        <v>425</v>
      </c>
      <c r="B27" s="37" t="s">
        <v>426</v>
      </c>
      <c r="C27" s="60" t="n">
        <v>3</v>
      </c>
      <c r="D27" s="36"/>
      <c r="E27" s="36"/>
      <c r="F27" s="36"/>
      <c r="G27" s="36"/>
      <c r="H27" s="60" t="str">
        <f aca="false">IF(COUNT(D27:G27)=0,"Not rated",IF(IF(G27&lt;&gt;"",G27,IF(F27&lt;&gt;"",F27,IF(E27&lt;&gt;"",E27,D27)))&gt;=C27,"At target","Below target"))</f>
        <v>Not rated</v>
      </c>
      <c r="I27" s="35"/>
    </row>
    <row r="28" customFormat="false" ht="15" hidden="false" customHeight="false" outlineLevel="0" collapsed="false">
      <c r="A28" s="37" t="s">
        <v>427</v>
      </c>
      <c r="B28" s="37" t="s">
        <v>428</v>
      </c>
      <c r="C28" s="60" t="n">
        <v>3</v>
      </c>
      <c r="D28" s="36"/>
      <c r="E28" s="36"/>
      <c r="F28" s="36"/>
      <c r="G28" s="36"/>
      <c r="H28" s="60" t="str">
        <f aca="false">IF(COUNT(D28:G28)=0,"Not rated",IF(IF(G28&lt;&gt;"",G28,IF(F28&lt;&gt;"",F28,IF(E28&lt;&gt;"",E28,D28)))&gt;=C28,"At target","Below target"))</f>
        <v>Not rated</v>
      </c>
      <c r="I28" s="35"/>
    </row>
    <row r="29" customFormat="false" ht="15" hidden="false" customHeight="false" outlineLevel="0" collapsed="false">
      <c r="A29" s="37" t="s">
        <v>427</v>
      </c>
      <c r="B29" s="37" t="s">
        <v>429</v>
      </c>
      <c r="C29" s="60" t="n">
        <v>3</v>
      </c>
      <c r="D29" s="36"/>
      <c r="E29" s="36"/>
      <c r="F29" s="36"/>
      <c r="G29" s="36"/>
      <c r="H29" s="60" t="str">
        <f aca="false">IF(COUNT(D29:G29)=0,"Not rated",IF(IF(G29&lt;&gt;"",G29,IF(F29&lt;&gt;"",F29,IF(E29&lt;&gt;"",E29,D29)))&gt;=C29,"At target","Below target"))</f>
        <v>Not rated</v>
      </c>
      <c r="I29" s="35"/>
    </row>
    <row r="30" customFormat="false" ht="15" hidden="false" customHeight="false" outlineLevel="0" collapsed="false">
      <c r="A30" s="37" t="s">
        <v>430</v>
      </c>
      <c r="B30" s="37" t="s">
        <v>431</v>
      </c>
      <c r="C30" s="60" t="n">
        <v>3</v>
      </c>
      <c r="D30" s="36"/>
      <c r="E30" s="36"/>
      <c r="F30" s="36"/>
      <c r="G30" s="36"/>
      <c r="H30" s="60" t="str">
        <f aca="false">IF(COUNT(D30:G30)=0,"Not rated",IF(IF(G30&lt;&gt;"",G30,IF(F30&lt;&gt;"",F30,IF(E30&lt;&gt;"",E30,D30)))&gt;=C30,"At target","Below target"))</f>
        <v>Not rated</v>
      </c>
      <c r="I30" s="35"/>
    </row>
    <row r="31" customFormat="false" ht="15" hidden="false" customHeight="false" outlineLevel="0" collapsed="false">
      <c r="A31" s="37" t="s">
        <v>432</v>
      </c>
      <c r="B31" s="37" t="s">
        <v>433</v>
      </c>
      <c r="C31" s="60" t="n">
        <v>4</v>
      </c>
      <c r="D31" s="36"/>
      <c r="E31" s="36"/>
      <c r="F31" s="36"/>
      <c r="G31" s="36"/>
      <c r="H31" s="60" t="str">
        <f aca="false">IF(COUNT(D31:G31)=0,"Not rated",IF(IF(G31&lt;&gt;"",G31,IF(F31&lt;&gt;"",F31,IF(E31&lt;&gt;"",E31,D31)))&gt;=C31,"At target","Below target"))</f>
        <v>Not rated</v>
      </c>
      <c r="I31" s="35"/>
    </row>
    <row r="32" customFormat="false" ht="15" hidden="false" customHeight="false" outlineLevel="0" collapsed="false">
      <c r="A32" s="37" t="s">
        <v>434</v>
      </c>
      <c r="B32" s="37" t="s">
        <v>435</v>
      </c>
      <c r="C32" s="60" t="n">
        <v>4</v>
      </c>
      <c r="D32" s="36"/>
      <c r="E32" s="36"/>
      <c r="F32" s="36"/>
      <c r="G32" s="36"/>
      <c r="H32" s="60" t="str">
        <f aca="false">IF(COUNT(D32:G32)=0,"Not rated",IF(IF(G32&lt;&gt;"",G32,IF(F32&lt;&gt;"",F32,IF(E32&lt;&gt;"",E32,D32)))&gt;=C32,"At target","Below target"))</f>
        <v>Not rated</v>
      </c>
      <c r="I32" s="35"/>
    </row>
    <row r="33" customFormat="false" ht="15" hidden="false" customHeight="false" outlineLevel="0" collapsed="false">
      <c r="A33" s="37" t="s">
        <v>434</v>
      </c>
      <c r="B33" s="37" t="s">
        <v>436</v>
      </c>
      <c r="C33" s="60" t="n">
        <v>4</v>
      </c>
      <c r="D33" s="36"/>
      <c r="E33" s="36"/>
      <c r="F33" s="36"/>
      <c r="G33" s="36"/>
      <c r="H33" s="60" t="str">
        <f aca="false">IF(COUNT(D33:G33)=0,"Not rated",IF(IF(G33&lt;&gt;"",G33,IF(F33&lt;&gt;"",F33,IF(E33&lt;&gt;"",E33,D33)))&gt;=C33,"At target","Below target"))</f>
        <v>Not rated</v>
      </c>
      <c r="I33" s="35"/>
    </row>
    <row r="34" customFormat="false" ht="15" hidden="false" customHeight="false" outlineLevel="0" collapsed="false">
      <c r="A34" s="37" t="s">
        <v>437</v>
      </c>
      <c r="B34" s="37" t="s">
        <v>438</v>
      </c>
      <c r="C34" s="60" t="n">
        <v>5</v>
      </c>
      <c r="D34" s="36"/>
      <c r="E34" s="36"/>
      <c r="F34" s="36"/>
      <c r="G34" s="36"/>
      <c r="H34" s="60" t="str">
        <f aca="false">IF(COUNT(D34:G34)=0,"Not rated",IF(IF(G34&lt;&gt;"",G34,IF(F34&lt;&gt;"",F34,IF(E34&lt;&gt;"",E34,D34)))&gt;=C34,"At target","Below target"))</f>
        <v>Not rated</v>
      </c>
      <c r="I34" s="35"/>
    </row>
    <row r="35" customFormat="false" ht="23.85" hidden="false" customHeight="false" outlineLevel="0" collapsed="false">
      <c r="A35" s="37" t="s">
        <v>437</v>
      </c>
      <c r="B35" s="37" t="s">
        <v>439</v>
      </c>
      <c r="C35" s="60" t="n">
        <v>4</v>
      </c>
      <c r="D35" s="36"/>
      <c r="E35" s="36"/>
      <c r="F35" s="36"/>
      <c r="G35" s="36"/>
      <c r="H35" s="60" t="str">
        <f aca="false">IF(COUNT(D35:G35)=0,"Not rated",IF(IF(G35&lt;&gt;"",G35,IF(F35&lt;&gt;"",F35,IF(E35&lt;&gt;"",E35,D35)))&gt;=C35,"At target","Below target"))</f>
        <v>Not rated</v>
      </c>
      <c r="I35" s="35"/>
    </row>
    <row r="36" customFormat="false" ht="15" hidden="false" customHeight="false" outlineLevel="0" collapsed="false">
      <c r="A36" s="37" t="s">
        <v>437</v>
      </c>
      <c r="B36" s="37" t="s">
        <v>440</v>
      </c>
      <c r="C36" s="60" t="n">
        <v>4</v>
      </c>
      <c r="D36" s="36"/>
      <c r="E36" s="36"/>
      <c r="F36" s="36"/>
      <c r="G36" s="36"/>
      <c r="H36" s="60" t="str">
        <f aca="false">IF(COUNT(D36:G36)=0,"Not rated",IF(IF(G36&lt;&gt;"",G36,IF(F36&lt;&gt;"",F36,IF(E36&lt;&gt;"",E36,D36)))&gt;=C36,"At target","Below target"))</f>
        <v>Not rated</v>
      </c>
      <c r="I36" s="35"/>
    </row>
    <row r="37" customFormat="false" ht="15" hidden="false" customHeight="false" outlineLevel="0" collapsed="false">
      <c r="A37" s="37" t="s">
        <v>437</v>
      </c>
      <c r="B37" s="37" t="s">
        <v>441</v>
      </c>
      <c r="C37" s="60" t="n">
        <v>4</v>
      </c>
      <c r="D37" s="36"/>
      <c r="E37" s="36"/>
      <c r="F37" s="36"/>
      <c r="G37" s="36"/>
      <c r="H37" s="60" t="str">
        <f aca="false">IF(COUNT(D37:G37)=0,"Not rated",IF(IF(G37&lt;&gt;"",G37,IF(F37&lt;&gt;"",F37,IF(E37&lt;&gt;"",E37,D37)))&gt;=C37,"At target","Below target"))</f>
        <v>Not rated</v>
      </c>
      <c r="I37" s="35"/>
    </row>
    <row r="38" customFormat="false" ht="15" hidden="false" customHeight="false" outlineLevel="0" collapsed="false">
      <c r="A38" s="37" t="s">
        <v>442</v>
      </c>
      <c r="B38" s="37" t="s">
        <v>443</v>
      </c>
      <c r="C38" s="60" t="n">
        <v>3</v>
      </c>
      <c r="D38" s="36"/>
      <c r="E38" s="36"/>
      <c r="F38" s="36"/>
      <c r="G38" s="36"/>
      <c r="H38" s="60" t="str">
        <f aca="false">IF(COUNT(D38:G38)=0,"Not rated",IF(IF(G38&lt;&gt;"",G38,IF(F38&lt;&gt;"",F38,IF(E38&lt;&gt;"",E38,D38)))&gt;=C38,"At target","Below target"))</f>
        <v>Not rated</v>
      </c>
      <c r="I38" s="35"/>
    </row>
    <row r="39" customFormat="false" ht="15" hidden="false" customHeight="false" outlineLevel="0" collapsed="false">
      <c r="A39" s="37" t="s">
        <v>432</v>
      </c>
      <c r="B39" s="37" t="s">
        <v>444</v>
      </c>
      <c r="C39" s="60" t="n">
        <v>4</v>
      </c>
      <c r="D39" s="36"/>
      <c r="E39" s="36"/>
      <c r="F39" s="36"/>
      <c r="G39" s="36"/>
      <c r="H39" s="60" t="str">
        <f aca="false">IF(COUNT(D39:G39)=0,"Not rated",IF(IF(G39&lt;&gt;"",G39,IF(F39&lt;&gt;"",F39,IF(E39&lt;&gt;"",E39,D39)))&gt;=C39,"At target","Below target"))</f>
        <v>Not rated</v>
      </c>
      <c r="I39" s="35"/>
    </row>
    <row r="40" customFormat="false" ht="15" hidden="false" customHeight="false" outlineLevel="0" collapsed="false">
      <c r="A40" s="37" t="s">
        <v>432</v>
      </c>
      <c r="B40" s="37" t="s">
        <v>445</v>
      </c>
      <c r="C40" s="60" t="n">
        <v>3</v>
      </c>
      <c r="D40" s="36"/>
      <c r="E40" s="36"/>
      <c r="F40" s="36"/>
      <c r="G40" s="36"/>
      <c r="H40" s="60" t="str">
        <f aca="false">IF(COUNT(D40:G40)=0,"Not rated",IF(IF(G40&lt;&gt;"",G40,IF(F40&lt;&gt;"",F40,IF(E40&lt;&gt;"",E40,D40)))&gt;=C40,"At target","Below target"))</f>
        <v>Not rated</v>
      </c>
      <c r="I40" s="35"/>
    </row>
    <row r="41" customFormat="false" ht="15" hidden="false" customHeight="false" outlineLevel="0" collapsed="false">
      <c r="A41" s="37" t="s">
        <v>446</v>
      </c>
      <c r="B41" s="37" t="s">
        <v>447</v>
      </c>
      <c r="C41" s="60" t="n">
        <v>5</v>
      </c>
      <c r="D41" s="36"/>
      <c r="E41" s="36"/>
      <c r="F41" s="36"/>
      <c r="G41" s="36"/>
      <c r="H41" s="60" t="str">
        <f aca="false">IF(COUNT(D41:G41)=0,"Not rated",IF(IF(G41&lt;&gt;"",G41,IF(F41&lt;&gt;"",F41,IF(E41&lt;&gt;"",E41,D41)))&gt;=C41,"At target","Below target"))</f>
        <v>Not rated</v>
      </c>
      <c r="I41" s="35"/>
    </row>
    <row r="42" customFormat="false" ht="15" hidden="false" customHeight="false" outlineLevel="0" collapsed="false">
      <c r="A42" s="37" t="s">
        <v>446</v>
      </c>
      <c r="B42" s="37" t="s">
        <v>448</v>
      </c>
      <c r="C42" s="60" t="n">
        <v>4</v>
      </c>
      <c r="D42" s="36"/>
      <c r="E42" s="36"/>
      <c r="F42" s="36"/>
      <c r="G42" s="36"/>
      <c r="H42" s="60" t="str">
        <f aca="false">IF(COUNT(D42:G42)=0,"Not rated",IF(IF(G42&lt;&gt;"",G42,IF(F42&lt;&gt;"",F42,IF(E42&lt;&gt;"",E42,D42)))&gt;=C42,"At target","Below target"))</f>
        <v>Not rated</v>
      </c>
      <c r="I42" s="35"/>
    </row>
    <row r="43" customFormat="false" ht="15" hidden="false" customHeight="false" outlineLevel="0" collapsed="false">
      <c r="A43" s="37" t="s">
        <v>446</v>
      </c>
      <c r="B43" s="37" t="s">
        <v>449</v>
      </c>
      <c r="C43" s="60" t="n">
        <v>4</v>
      </c>
      <c r="D43" s="36"/>
      <c r="E43" s="36"/>
      <c r="F43" s="36"/>
      <c r="G43" s="36"/>
      <c r="H43" s="60" t="str">
        <f aca="false">IF(COUNT(D43:G43)=0,"Not rated",IF(IF(G43&lt;&gt;"",G43,IF(F43&lt;&gt;"",F43,IF(E43&lt;&gt;"",E43,D43)))&gt;=C43,"At target","Below target"))</f>
        <v>Not rated</v>
      </c>
      <c r="I43" s="35"/>
    </row>
    <row r="44" customFormat="false" ht="15" hidden="false" customHeight="false" outlineLevel="0" collapsed="false">
      <c r="A44" s="37" t="s">
        <v>446</v>
      </c>
      <c r="B44" s="37" t="s">
        <v>450</v>
      </c>
      <c r="C44" s="60" t="n">
        <v>4</v>
      </c>
      <c r="D44" s="36"/>
      <c r="E44" s="36"/>
      <c r="F44" s="36"/>
      <c r="G44" s="36"/>
      <c r="H44" s="60" t="str">
        <f aca="false">IF(COUNT(D44:G44)=0,"Not rated",IF(IF(G44&lt;&gt;"",G44,IF(F44&lt;&gt;"",F44,IF(E44&lt;&gt;"",E44,D44)))&gt;=C44,"At target","Below target"))</f>
        <v>Not rated</v>
      </c>
      <c r="I44" s="35"/>
    </row>
    <row r="45" customFormat="false" ht="15" hidden="false" customHeight="false" outlineLevel="0" collapsed="false">
      <c r="A45" s="37" t="s">
        <v>446</v>
      </c>
      <c r="B45" s="37" t="s">
        <v>451</v>
      </c>
      <c r="C45" s="60" t="n">
        <v>3</v>
      </c>
      <c r="D45" s="36"/>
      <c r="E45" s="36"/>
      <c r="F45" s="36"/>
      <c r="G45" s="36"/>
      <c r="H45" s="60" t="str">
        <f aca="false">IF(COUNT(D45:G45)=0,"Not rated",IF(IF(G45&lt;&gt;"",G45,IF(F45&lt;&gt;"",F45,IF(E45&lt;&gt;"",E45,D45)))&gt;=C45,"At target","Below target"))</f>
        <v>Not rated</v>
      </c>
      <c r="I45" s="35"/>
    </row>
    <row r="46" customFormat="false" ht="15" hidden="false" customHeight="false" outlineLevel="0" collapsed="false">
      <c r="A46" s="37" t="s">
        <v>446</v>
      </c>
      <c r="B46" s="37" t="s">
        <v>145</v>
      </c>
      <c r="C46" s="60" t="n">
        <v>5</v>
      </c>
      <c r="D46" s="36"/>
      <c r="E46" s="36"/>
      <c r="F46" s="36"/>
      <c r="G46" s="36"/>
      <c r="H46" s="60" t="str">
        <f aca="false">IF(COUNT(D46:G46)=0,"Not rated",IF(IF(G46&lt;&gt;"",G46,IF(F46&lt;&gt;"",F46,IF(E46&lt;&gt;"",E46,D46)))&gt;=C46,"At target","Below target"))</f>
        <v>Not rated</v>
      </c>
      <c r="I46" s="35"/>
    </row>
    <row r="47" customFormat="false" ht="15" hidden="false" customHeight="false" outlineLevel="0" collapsed="false">
      <c r="A47" s="37" t="s">
        <v>446</v>
      </c>
      <c r="B47" s="37" t="s">
        <v>452</v>
      </c>
      <c r="C47" s="60" t="n">
        <v>3</v>
      </c>
      <c r="D47" s="36"/>
      <c r="E47" s="36"/>
      <c r="F47" s="36"/>
      <c r="G47" s="36"/>
      <c r="H47" s="60" t="str">
        <f aca="false">IF(COUNT(D47:G47)=0,"Not rated",IF(IF(G47&lt;&gt;"",G47,IF(F47&lt;&gt;"",F47,IF(E47&lt;&gt;"",E47,D47)))&gt;=C47,"At target","Below target"))</f>
        <v>Not rated</v>
      </c>
      <c r="I47" s="35"/>
    </row>
    <row r="48" customFormat="false" ht="15" hidden="false" customHeight="false" outlineLevel="0" collapsed="false">
      <c r="A48" s="37" t="s">
        <v>453</v>
      </c>
      <c r="B48" s="37" t="s">
        <v>454</v>
      </c>
      <c r="C48" s="60" t="n">
        <v>5</v>
      </c>
      <c r="D48" s="36"/>
      <c r="E48" s="36"/>
      <c r="F48" s="36"/>
      <c r="G48" s="36"/>
      <c r="H48" s="60" t="str">
        <f aca="false">IF(COUNT(D48:G48)=0,"Not rated",IF(IF(G48&lt;&gt;"",G48,IF(F48&lt;&gt;"",F48,IF(E48&lt;&gt;"",E48,D48)))&gt;=C48,"At target","Below target"))</f>
        <v>Not rated</v>
      </c>
      <c r="I48" s="35"/>
    </row>
    <row r="49" customFormat="false" ht="15" hidden="false" customHeight="false" outlineLevel="0" collapsed="false">
      <c r="A49" s="37" t="s">
        <v>453</v>
      </c>
      <c r="B49" s="37" t="s">
        <v>455</v>
      </c>
      <c r="C49" s="60" t="n">
        <v>4</v>
      </c>
      <c r="D49" s="36"/>
      <c r="E49" s="36"/>
      <c r="F49" s="36"/>
      <c r="G49" s="36"/>
      <c r="H49" s="60" t="str">
        <f aca="false">IF(COUNT(D49:G49)=0,"Not rated",IF(IF(G49&lt;&gt;"",G49,IF(F49&lt;&gt;"",F49,IF(E49&lt;&gt;"",E49,D49)))&gt;=C49,"At target","Below target"))</f>
        <v>Not rated</v>
      </c>
      <c r="I49" s="35"/>
    </row>
    <row r="50" customFormat="false" ht="15" hidden="false" customHeight="false" outlineLevel="0" collapsed="false">
      <c r="A50" s="37" t="s">
        <v>453</v>
      </c>
      <c r="B50" s="37" t="s">
        <v>456</v>
      </c>
      <c r="C50" s="60" t="n">
        <v>4</v>
      </c>
      <c r="D50" s="36"/>
      <c r="E50" s="36"/>
      <c r="F50" s="36"/>
      <c r="G50" s="36"/>
      <c r="H50" s="60" t="str">
        <f aca="false">IF(COUNT(D50:G50)=0,"Not rated",IF(IF(G50&lt;&gt;"",G50,IF(F50&lt;&gt;"",F50,IF(E50&lt;&gt;"",E50,D50)))&gt;=C50,"At target","Below target"))</f>
        <v>Not rated</v>
      </c>
      <c r="I50" s="35"/>
    </row>
  </sheetData>
  <conditionalFormatting sqref="H5:H50">
    <cfRule type="cellIs" priority="2" operator="equal" aboveAverage="0" equalAverage="0" bottom="0" percent="0" rank="0" text="" dxfId="15">
      <formula>"At target"</formula>
    </cfRule>
    <cfRule type="cellIs" priority="3" operator="equal" aboveAverage="0" equalAverage="0" bottom="0" percent="0" rank="0" text="" dxfId="19">
      <formula>"Below target"</formula>
    </cfRule>
  </conditionalFormatting>
  <dataValidations count="1">
    <dataValidation allowBlank="true" errorStyle="stop" operator="between" showDropDown="false" showErrorMessage="false" showInputMessage="false" sqref="D5:G5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M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1" t="s">
        <v>457</v>
      </c>
    </row>
    <row r="2" customFormat="false" ht="15" hidden="false" customHeight="false" outlineLevel="0" collapsed="false">
      <c r="A2" s="2" t="s">
        <v>458</v>
      </c>
    </row>
    <row r="4" customFormat="false" ht="31.5" hidden="false" customHeight="true" outlineLevel="0" collapsed="false">
      <c r="A4" s="30" t="s">
        <v>459</v>
      </c>
      <c r="B4" s="30" t="s">
        <v>460</v>
      </c>
      <c r="C4" s="30" t="s">
        <v>461</v>
      </c>
      <c r="D4" s="30" t="s">
        <v>462</v>
      </c>
      <c r="E4" s="30" t="s">
        <v>463</v>
      </c>
      <c r="F4" s="30" t="s">
        <v>464</v>
      </c>
      <c r="G4" s="30" t="s">
        <v>465</v>
      </c>
      <c r="H4" s="30" t="s">
        <v>466</v>
      </c>
      <c r="I4" s="30" t="s">
        <v>14</v>
      </c>
      <c r="J4" s="30" t="s">
        <v>467</v>
      </c>
      <c r="K4" s="30" t="s">
        <v>18</v>
      </c>
      <c r="L4" s="30" t="s">
        <v>468</v>
      </c>
      <c r="M4" s="30" t="s">
        <v>469</v>
      </c>
    </row>
    <row r="5" customFormat="false" ht="23.85" hidden="false" customHeight="false" outlineLevel="0" collapsed="false">
      <c r="A5" s="61" t="n">
        <v>46368</v>
      </c>
      <c r="B5" s="62" t="s">
        <v>470</v>
      </c>
      <c r="C5" s="62" t="s">
        <v>471</v>
      </c>
      <c r="D5" s="62" t="s">
        <v>472</v>
      </c>
      <c r="E5" s="62" t="s">
        <v>473</v>
      </c>
      <c r="F5" s="62" t="n">
        <v>16</v>
      </c>
      <c r="G5" s="63" t="n">
        <v>250</v>
      </c>
      <c r="H5" s="62" t="s">
        <v>474</v>
      </c>
      <c r="I5" s="62" t="s">
        <v>475</v>
      </c>
      <c r="J5" s="62" t="s">
        <v>475</v>
      </c>
      <c r="K5" s="62" t="s">
        <v>333</v>
      </c>
      <c r="L5" s="63" t="n">
        <v>0</v>
      </c>
      <c r="M5" s="62" t="s">
        <v>476</v>
      </c>
    </row>
    <row r="6" customFormat="false" ht="15" hidden="false" customHeight="false" outlineLevel="0" collapsed="false">
      <c r="A6" s="59"/>
      <c r="B6" s="35"/>
      <c r="C6" s="35"/>
      <c r="D6" s="35"/>
      <c r="E6" s="35"/>
      <c r="F6" s="35"/>
      <c r="G6" s="64"/>
      <c r="H6" s="35"/>
      <c r="I6" s="35"/>
      <c r="J6" s="35"/>
      <c r="K6" s="35"/>
      <c r="L6" s="64"/>
      <c r="M6" s="35"/>
    </row>
    <row r="7" customFormat="false" ht="15" hidden="false" customHeight="false" outlineLevel="0" collapsed="false">
      <c r="A7" s="59"/>
      <c r="B7" s="35"/>
      <c r="C7" s="35"/>
      <c r="D7" s="35"/>
      <c r="E7" s="35"/>
      <c r="F7" s="35"/>
      <c r="G7" s="64"/>
      <c r="H7" s="35"/>
      <c r="I7" s="35"/>
      <c r="J7" s="35"/>
      <c r="K7" s="35"/>
      <c r="L7" s="64"/>
      <c r="M7" s="35"/>
    </row>
    <row r="8" customFormat="false" ht="15" hidden="false" customHeight="false" outlineLevel="0" collapsed="false">
      <c r="A8" s="59"/>
      <c r="B8" s="35"/>
      <c r="C8" s="35"/>
      <c r="D8" s="35"/>
      <c r="E8" s="35"/>
      <c r="F8" s="35"/>
      <c r="G8" s="64"/>
      <c r="H8" s="35"/>
      <c r="I8" s="35"/>
      <c r="J8" s="35"/>
      <c r="K8" s="35"/>
      <c r="L8" s="64"/>
      <c r="M8" s="35"/>
    </row>
    <row r="9" customFormat="false" ht="15" hidden="false" customHeight="false" outlineLevel="0" collapsed="false">
      <c r="A9" s="59"/>
      <c r="B9" s="35"/>
      <c r="C9" s="35"/>
      <c r="D9" s="35"/>
      <c r="E9" s="35"/>
      <c r="F9" s="35"/>
      <c r="G9" s="64"/>
      <c r="H9" s="35"/>
      <c r="I9" s="35"/>
      <c r="J9" s="35"/>
      <c r="K9" s="35"/>
      <c r="L9" s="64"/>
      <c r="M9" s="35"/>
    </row>
    <row r="10" customFormat="false" ht="15" hidden="false" customHeight="false" outlineLevel="0" collapsed="false">
      <c r="A10" s="59"/>
      <c r="B10" s="35"/>
      <c r="C10" s="35"/>
      <c r="D10" s="35"/>
      <c r="E10" s="35"/>
      <c r="F10" s="35"/>
      <c r="G10" s="64"/>
      <c r="H10" s="35"/>
      <c r="I10" s="35"/>
      <c r="J10" s="35"/>
      <c r="K10" s="35"/>
      <c r="L10" s="64"/>
      <c r="M10" s="35"/>
    </row>
    <row r="11" customFormat="false" ht="15" hidden="false" customHeight="false" outlineLevel="0" collapsed="false">
      <c r="A11" s="59"/>
      <c r="B11" s="35"/>
      <c r="C11" s="35"/>
      <c r="D11" s="35"/>
      <c r="E11" s="35"/>
      <c r="F11" s="35"/>
      <c r="G11" s="64"/>
      <c r="H11" s="35"/>
      <c r="I11" s="35"/>
      <c r="J11" s="35"/>
      <c r="K11" s="35"/>
      <c r="L11" s="64"/>
      <c r="M11" s="35"/>
    </row>
    <row r="12" customFormat="false" ht="15" hidden="false" customHeight="false" outlineLevel="0" collapsed="false">
      <c r="A12" s="59"/>
      <c r="B12" s="35"/>
      <c r="C12" s="35"/>
      <c r="D12" s="35"/>
      <c r="E12" s="35"/>
      <c r="F12" s="35"/>
      <c r="G12" s="64"/>
      <c r="H12" s="35"/>
      <c r="I12" s="35"/>
      <c r="J12" s="35"/>
      <c r="K12" s="35"/>
      <c r="L12" s="64"/>
      <c r="M12" s="35"/>
    </row>
    <row r="13" customFormat="false" ht="15" hidden="false" customHeight="false" outlineLevel="0" collapsed="false">
      <c r="A13" s="59"/>
      <c r="B13" s="35"/>
      <c r="C13" s="35"/>
      <c r="D13" s="35"/>
      <c r="E13" s="35"/>
      <c r="F13" s="35"/>
      <c r="G13" s="64"/>
      <c r="H13" s="35"/>
      <c r="I13" s="35"/>
      <c r="J13" s="35"/>
      <c r="K13" s="35"/>
      <c r="L13" s="64"/>
      <c r="M13" s="35"/>
    </row>
    <row r="14" customFormat="false" ht="15" hidden="false" customHeight="false" outlineLevel="0" collapsed="false">
      <c r="A14" s="59"/>
      <c r="B14" s="35"/>
      <c r="C14" s="35"/>
      <c r="D14" s="35"/>
      <c r="E14" s="35"/>
      <c r="F14" s="35"/>
      <c r="G14" s="64"/>
      <c r="H14" s="35"/>
      <c r="I14" s="35"/>
      <c r="J14" s="35"/>
      <c r="K14" s="35"/>
      <c r="L14" s="64"/>
      <c r="M14" s="35"/>
    </row>
    <row r="15" customFormat="false" ht="15" hidden="false" customHeight="false" outlineLevel="0" collapsed="false">
      <c r="A15" s="59"/>
      <c r="B15" s="35"/>
      <c r="C15" s="35"/>
      <c r="D15" s="35"/>
      <c r="E15" s="35"/>
      <c r="F15" s="35"/>
      <c r="G15" s="64"/>
      <c r="H15" s="35"/>
      <c r="I15" s="35"/>
      <c r="J15" s="35"/>
      <c r="K15" s="35"/>
      <c r="L15" s="64"/>
      <c r="M15" s="35"/>
    </row>
    <row r="16" customFormat="false" ht="15" hidden="false" customHeight="false" outlineLevel="0" collapsed="false">
      <c r="A16" s="59"/>
      <c r="B16" s="35"/>
      <c r="C16" s="35"/>
      <c r="D16" s="35"/>
      <c r="E16" s="35"/>
      <c r="F16" s="35"/>
      <c r="G16" s="64"/>
      <c r="H16" s="35"/>
      <c r="I16" s="35"/>
      <c r="J16" s="35"/>
      <c r="K16" s="35"/>
      <c r="L16" s="64"/>
      <c r="M16" s="35"/>
    </row>
    <row r="17" customFormat="false" ht="15" hidden="false" customHeight="false" outlineLevel="0" collapsed="false">
      <c r="A17" s="59"/>
      <c r="B17" s="35"/>
      <c r="C17" s="35"/>
      <c r="D17" s="35"/>
      <c r="E17" s="35"/>
      <c r="F17" s="35"/>
      <c r="G17" s="64"/>
      <c r="H17" s="35"/>
      <c r="I17" s="35"/>
      <c r="J17" s="35"/>
      <c r="K17" s="35"/>
      <c r="L17" s="64"/>
      <c r="M17" s="35"/>
    </row>
    <row r="18" customFormat="false" ht="15" hidden="false" customHeight="false" outlineLevel="0" collapsed="false">
      <c r="A18" s="59"/>
      <c r="B18" s="35"/>
      <c r="C18" s="35"/>
      <c r="D18" s="35"/>
      <c r="E18" s="35"/>
      <c r="F18" s="35"/>
      <c r="G18" s="64"/>
      <c r="H18" s="35"/>
      <c r="I18" s="35"/>
      <c r="J18" s="35"/>
      <c r="K18" s="35"/>
      <c r="L18" s="64"/>
      <c r="M18" s="35"/>
    </row>
    <row r="19" customFormat="false" ht="15" hidden="false" customHeight="false" outlineLevel="0" collapsed="false">
      <c r="A19" s="59"/>
      <c r="B19" s="35"/>
      <c r="C19" s="35"/>
      <c r="D19" s="35"/>
      <c r="E19" s="35"/>
      <c r="F19" s="35"/>
      <c r="G19" s="64"/>
      <c r="H19" s="35"/>
      <c r="I19" s="35"/>
      <c r="J19" s="35"/>
      <c r="K19" s="35"/>
      <c r="L19" s="64"/>
      <c r="M19" s="35"/>
    </row>
    <row r="20" customFormat="false" ht="15" hidden="false" customHeight="false" outlineLevel="0" collapsed="false">
      <c r="A20" s="59"/>
      <c r="B20" s="35"/>
      <c r="C20" s="35"/>
      <c r="D20" s="35"/>
      <c r="E20" s="35"/>
      <c r="F20" s="35"/>
      <c r="G20" s="64"/>
      <c r="H20" s="35"/>
      <c r="I20" s="35"/>
      <c r="J20" s="35"/>
      <c r="K20" s="35"/>
      <c r="L20" s="64"/>
      <c r="M20" s="35"/>
    </row>
    <row r="21" customFormat="false" ht="15" hidden="false" customHeight="false" outlineLevel="0" collapsed="false">
      <c r="A21" s="59"/>
      <c r="B21" s="35"/>
      <c r="C21" s="35"/>
      <c r="D21" s="35"/>
      <c r="E21" s="35"/>
      <c r="F21" s="35"/>
      <c r="G21" s="64"/>
      <c r="H21" s="35"/>
      <c r="I21" s="35"/>
      <c r="J21" s="35"/>
      <c r="K21" s="35"/>
      <c r="L21" s="64"/>
      <c r="M21" s="35"/>
    </row>
    <row r="22" customFormat="false" ht="15" hidden="false" customHeight="false" outlineLevel="0" collapsed="false">
      <c r="A22" s="59"/>
      <c r="B22" s="35"/>
      <c r="C22" s="35"/>
      <c r="D22" s="35"/>
      <c r="E22" s="35"/>
      <c r="F22" s="35"/>
      <c r="G22" s="64"/>
      <c r="H22" s="35"/>
      <c r="I22" s="35"/>
      <c r="J22" s="35"/>
      <c r="K22" s="35"/>
      <c r="L22" s="64"/>
      <c r="M22" s="35"/>
    </row>
    <row r="23" customFormat="false" ht="15" hidden="false" customHeight="false" outlineLevel="0" collapsed="false">
      <c r="A23" s="59"/>
      <c r="B23" s="35"/>
      <c r="C23" s="35"/>
      <c r="D23" s="35"/>
      <c r="E23" s="35"/>
      <c r="F23" s="35"/>
      <c r="G23" s="64"/>
      <c r="H23" s="35"/>
      <c r="I23" s="35"/>
      <c r="J23" s="35"/>
      <c r="K23" s="35"/>
      <c r="L23" s="64"/>
      <c r="M23" s="35"/>
    </row>
    <row r="24" customFormat="false" ht="15" hidden="false" customHeight="false" outlineLevel="0" collapsed="false">
      <c r="A24" s="59"/>
      <c r="B24" s="35"/>
      <c r="C24" s="35"/>
      <c r="D24" s="35"/>
      <c r="E24" s="35"/>
      <c r="F24" s="35"/>
      <c r="G24" s="64"/>
      <c r="H24" s="35"/>
      <c r="I24" s="35"/>
      <c r="J24" s="35"/>
      <c r="K24" s="35"/>
      <c r="L24" s="64"/>
      <c r="M24" s="35"/>
    </row>
    <row r="25" customFormat="false" ht="15" hidden="false" customHeight="false" outlineLevel="0" collapsed="false">
      <c r="A25" s="59"/>
      <c r="B25" s="35"/>
      <c r="C25" s="35"/>
      <c r="D25" s="35"/>
      <c r="E25" s="35"/>
      <c r="F25" s="35"/>
      <c r="G25" s="64"/>
      <c r="H25" s="35"/>
      <c r="I25" s="35"/>
      <c r="J25" s="35"/>
      <c r="K25" s="35"/>
      <c r="L25" s="64"/>
      <c r="M25" s="35"/>
    </row>
    <row r="26" customFormat="false" ht="15" hidden="false" customHeight="false" outlineLevel="0" collapsed="false">
      <c r="A26" s="59"/>
      <c r="B26" s="35"/>
      <c r="C26" s="35"/>
      <c r="D26" s="35"/>
      <c r="E26" s="35"/>
      <c r="F26" s="35"/>
      <c r="G26" s="64"/>
      <c r="H26" s="35"/>
      <c r="I26" s="35"/>
      <c r="J26" s="35"/>
      <c r="K26" s="35"/>
      <c r="L26" s="64"/>
      <c r="M26" s="35"/>
    </row>
    <row r="27" customFormat="false" ht="15" hidden="false" customHeight="false" outlineLevel="0" collapsed="false">
      <c r="A27" s="59"/>
      <c r="B27" s="35"/>
      <c r="C27" s="35"/>
      <c r="D27" s="35"/>
      <c r="E27" s="35"/>
      <c r="F27" s="35"/>
      <c r="G27" s="64"/>
      <c r="H27" s="35"/>
      <c r="I27" s="35"/>
      <c r="J27" s="35"/>
      <c r="K27" s="35"/>
      <c r="L27" s="64"/>
      <c r="M27" s="35"/>
    </row>
    <row r="28" customFormat="false" ht="15" hidden="false" customHeight="false" outlineLevel="0" collapsed="false">
      <c r="A28" s="59"/>
      <c r="B28" s="35"/>
      <c r="C28" s="35"/>
      <c r="D28" s="35"/>
      <c r="E28" s="35"/>
      <c r="F28" s="35"/>
      <c r="G28" s="64"/>
      <c r="H28" s="35"/>
      <c r="I28" s="35"/>
      <c r="J28" s="35"/>
      <c r="K28" s="35"/>
      <c r="L28" s="64"/>
      <c r="M28" s="35"/>
    </row>
    <row r="29" customFormat="false" ht="15" hidden="false" customHeight="false" outlineLevel="0" collapsed="false">
      <c r="A29" s="59"/>
      <c r="B29" s="35"/>
      <c r="C29" s="35"/>
      <c r="D29" s="35"/>
      <c r="E29" s="35"/>
      <c r="F29" s="35"/>
      <c r="G29" s="64"/>
      <c r="H29" s="35"/>
      <c r="I29" s="35"/>
      <c r="J29" s="35"/>
      <c r="K29" s="35"/>
      <c r="L29" s="64"/>
      <c r="M29" s="35"/>
    </row>
    <row r="30" customFormat="false" ht="15" hidden="false" customHeight="false" outlineLevel="0" collapsed="false">
      <c r="A30" s="59"/>
      <c r="B30" s="35"/>
      <c r="C30" s="35"/>
      <c r="D30" s="35"/>
      <c r="E30" s="35"/>
      <c r="F30" s="35"/>
      <c r="G30" s="64"/>
      <c r="H30" s="35"/>
      <c r="I30" s="35"/>
      <c r="J30" s="35"/>
      <c r="K30" s="35"/>
      <c r="L30" s="64"/>
      <c r="M30" s="35"/>
    </row>
    <row r="31" customFormat="false" ht="15" hidden="false" customHeight="false" outlineLevel="0" collapsed="false">
      <c r="A31" s="59"/>
      <c r="B31" s="35"/>
      <c r="C31" s="35"/>
      <c r="D31" s="35"/>
      <c r="E31" s="35"/>
      <c r="F31" s="35"/>
      <c r="G31" s="64"/>
      <c r="H31" s="35"/>
      <c r="I31" s="35"/>
      <c r="J31" s="35"/>
      <c r="K31" s="35"/>
      <c r="L31" s="64"/>
      <c r="M31" s="35"/>
    </row>
    <row r="32" customFormat="false" ht="15" hidden="false" customHeight="false" outlineLevel="0" collapsed="false">
      <c r="A32" s="59"/>
      <c r="B32" s="35"/>
      <c r="C32" s="35"/>
      <c r="D32" s="35"/>
      <c r="E32" s="35"/>
      <c r="F32" s="35"/>
      <c r="G32" s="64"/>
      <c r="H32" s="35"/>
      <c r="I32" s="35"/>
      <c r="J32" s="35"/>
      <c r="K32" s="35"/>
      <c r="L32" s="64"/>
      <c r="M32" s="35"/>
    </row>
    <row r="33" customFormat="false" ht="15" hidden="false" customHeight="false" outlineLevel="0" collapsed="false">
      <c r="A33" s="59"/>
      <c r="B33" s="35"/>
      <c r="C33" s="35"/>
      <c r="D33" s="35"/>
      <c r="E33" s="35"/>
      <c r="F33" s="35"/>
      <c r="G33" s="64"/>
      <c r="H33" s="35"/>
      <c r="I33" s="35"/>
      <c r="J33" s="35"/>
      <c r="K33" s="35"/>
      <c r="L33" s="64"/>
      <c r="M33" s="35"/>
    </row>
    <row r="34" customFormat="false" ht="15" hidden="false" customHeight="false" outlineLevel="0" collapsed="false">
      <c r="A34" s="59"/>
      <c r="B34" s="35"/>
      <c r="C34" s="35"/>
      <c r="D34" s="35"/>
      <c r="E34" s="35"/>
      <c r="F34" s="35"/>
      <c r="G34" s="64"/>
      <c r="H34" s="35"/>
      <c r="I34" s="35"/>
      <c r="J34" s="35"/>
      <c r="K34" s="35"/>
      <c r="L34" s="64"/>
      <c r="M34" s="35"/>
    </row>
    <row r="35" customFormat="false" ht="15" hidden="false" customHeight="false" outlineLevel="0" collapsed="false">
      <c r="A35" s="59"/>
      <c r="B35" s="35"/>
      <c r="C35" s="35"/>
      <c r="D35" s="35"/>
      <c r="E35" s="35"/>
      <c r="F35" s="35"/>
      <c r="G35" s="64"/>
      <c r="H35" s="35"/>
      <c r="I35" s="35"/>
      <c r="J35" s="35"/>
      <c r="K35" s="35"/>
      <c r="L35" s="64"/>
      <c r="M35" s="35"/>
    </row>
    <row r="36" customFormat="false" ht="15" hidden="false" customHeight="false" outlineLevel="0" collapsed="false">
      <c r="A36" s="59"/>
      <c r="B36" s="35"/>
      <c r="C36" s="35"/>
      <c r="D36" s="35"/>
      <c r="E36" s="35"/>
      <c r="F36" s="35"/>
      <c r="G36" s="64"/>
      <c r="H36" s="35"/>
      <c r="I36" s="35"/>
      <c r="J36" s="35"/>
      <c r="K36" s="35"/>
      <c r="L36" s="64"/>
      <c r="M36" s="35"/>
    </row>
    <row r="37" customFormat="false" ht="15" hidden="false" customHeight="false" outlineLevel="0" collapsed="false">
      <c r="A37" s="59"/>
      <c r="B37" s="35"/>
      <c r="C37" s="35"/>
      <c r="D37" s="35"/>
      <c r="E37" s="35"/>
      <c r="F37" s="35"/>
      <c r="G37" s="64"/>
      <c r="H37" s="35"/>
      <c r="I37" s="35"/>
      <c r="J37" s="35"/>
      <c r="K37" s="35"/>
      <c r="L37" s="64"/>
      <c r="M37" s="35"/>
    </row>
    <row r="38" customFormat="false" ht="15" hidden="false" customHeight="false" outlineLevel="0" collapsed="false">
      <c r="A38" s="59"/>
      <c r="B38" s="35"/>
      <c r="C38" s="35"/>
      <c r="D38" s="35"/>
      <c r="E38" s="35"/>
      <c r="F38" s="35"/>
      <c r="G38" s="64"/>
      <c r="H38" s="35"/>
      <c r="I38" s="35"/>
      <c r="J38" s="35"/>
      <c r="K38" s="35"/>
      <c r="L38" s="64"/>
      <c r="M38" s="35"/>
    </row>
    <row r="39" customFormat="false" ht="15" hidden="false" customHeight="false" outlineLevel="0" collapsed="false">
      <c r="A39" s="59"/>
      <c r="B39" s="35"/>
      <c r="C39" s="35"/>
      <c r="D39" s="35"/>
      <c r="E39" s="35"/>
      <c r="F39" s="35"/>
      <c r="G39" s="64"/>
      <c r="H39" s="35"/>
      <c r="I39" s="35"/>
      <c r="J39" s="35"/>
      <c r="K39" s="35"/>
      <c r="L39" s="64"/>
      <c r="M39" s="35"/>
    </row>
    <row r="40" customFormat="false" ht="15" hidden="false" customHeight="false" outlineLevel="0" collapsed="false">
      <c r="A40" s="59"/>
      <c r="B40" s="35"/>
      <c r="C40" s="35"/>
      <c r="D40" s="35"/>
      <c r="E40" s="35"/>
      <c r="F40" s="35"/>
      <c r="G40" s="64"/>
      <c r="H40" s="35"/>
      <c r="I40" s="35"/>
      <c r="J40" s="35"/>
      <c r="K40" s="35"/>
      <c r="L40" s="64"/>
      <c r="M40" s="35"/>
    </row>
    <row r="41" customFormat="false" ht="15" hidden="false" customHeight="false" outlineLevel="0" collapsed="false">
      <c r="A41" s="59"/>
      <c r="B41" s="35"/>
      <c r="C41" s="35"/>
      <c r="D41" s="35"/>
      <c r="E41" s="35"/>
      <c r="F41" s="35"/>
      <c r="G41" s="64"/>
      <c r="H41" s="35"/>
      <c r="I41" s="35"/>
      <c r="J41" s="35"/>
      <c r="K41" s="35"/>
      <c r="L41" s="64"/>
      <c r="M41" s="35"/>
    </row>
    <row r="42" customFormat="false" ht="15" hidden="false" customHeight="false" outlineLevel="0" collapsed="false">
      <c r="A42" s="59"/>
      <c r="B42" s="35"/>
      <c r="C42" s="35"/>
      <c r="D42" s="35"/>
      <c r="E42" s="35"/>
      <c r="F42" s="35"/>
      <c r="G42" s="64"/>
      <c r="H42" s="35"/>
      <c r="I42" s="35"/>
      <c r="J42" s="35"/>
      <c r="K42" s="35"/>
      <c r="L42" s="64"/>
      <c r="M42" s="35"/>
    </row>
    <row r="43" customFormat="false" ht="15" hidden="false" customHeight="false" outlineLevel="0" collapsed="false">
      <c r="A43" s="59"/>
      <c r="B43" s="35"/>
      <c r="C43" s="35"/>
      <c r="D43" s="35"/>
      <c r="E43" s="35"/>
      <c r="F43" s="35"/>
      <c r="G43" s="64"/>
      <c r="H43" s="35"/>
      <c r="I43" s="35"/>
      <c r="J43" s="35"/>
      <c r="K43" s="35"/>
      <c r="L43" s="64"/>
      <c r="M43" s="35"/>
    </row>
    <row r="44" customFormat="false" ht="15" hidden="false" customHeight="false" outlineLevel="0" collapsed="false">
      <c r="A44" s="59"/>
      <c r="B44" s="35"/>
      <c r="C44" s="35"/>
      <c r="D44" s="35"/>
      <c r="E44" s="35"/>
      <c r="F44" s="35"/>
      <c r="G44" s="64"/>
      <c r="H44" s="35"/>
      <c r="I44" s="35"/>
      <c r="J44" s="35"/>
      <c r="K44" s="35"/>
      <c r="L44" s="64"/>
      <c r="M44" s="35"/>
    </row>
    <row r="45" customFormat="false" ht="15" hidden="false" customHeight="false" outlineLevel="0" collapsed="false">
      <c r="A45" s="59"/>
      <c r="B45" s="35"/>
      <c r="C45" s="35"/>
      <c r="D45" s="35"/>
      <c r="E45" s="35"/>
      <c r="F45" s="35"/>
      <c r="G45" s="64"/>
      <c r="H45" s="35"/>
      <c r="I45" s="35"/>
      <c r="J45" s="35"/>
      <c r="K45" s="35"/>
      <c r="L45" s="64"/>
      <c r="M45" s="35"/>
    </row>
    <row r="46" customFormat="false" ht="15" hidden="false" customHeight="false" outlineLevel="0" collapsed="false">
      <c r="A46" s="59"/>
      <c r="B46" s="35"/>
      <c r="C46" s="35"/>
      <c r="D46" s="35"/>
      <c r="E46" s="35"/>
      <c r="F46" s="35"/>
      <c r="G46" s="64"/>
      <c r="H46" s="35"/>
      <c r="I46" s="35"/>
      <c r="J46" s="35"/>
      <c r="K46" s="35"/>
      <c r="L46" s="64"/>
      <c r="M46" s="35"/>
    </row>
    <row r="47" customFormat="false" ht="15" hidden="false" customHeight="false" outlineLevel="0" collapsed="false">
      <c r="A47" s="59"/>
      <c r="B47" s="35"/>
      <c r="C47" s="35"/>
      <c r="D47" s="35"/>
      <c r="E47" s="35"/>
      <c r="F47" s="35"/>
      <c r="G47" s="64"/>
      <c r="H47" s="35"/>
      <c r="I47" s="35"/>
      <c r="J47" s="35"/>
      <c r="K47" s="35"/>
      <c r="L47" s="64"/>
      <c r="M47" s="35"/>
    </row>
    <row r="48" customFormat="false" ht="15" hidden="false" customHeight="false" outlineLevel="0" collapsed="false">
      <c r="A48" s="59"/>
      <c r="B48" s="35"/>
      <c r="C48" s="35"/>
      <c r="D48" s="35"/>
      <c r="E48" s="35"/>
      <c r="F48" s="35"/>
      <c r="G48" s="64"/>
      <c r="H48" s="35"/>
      <c r="I48" s="35"/>
      <c r="J48" s="35"/>
      <c r="K48" s="35"/>
      <c r="L48" s="64"/>
      <c r="M48" s="35"/>
    </row>
    <row r="49" customFormat="false" ht="15" hidden="false" customHeight="false" outlineLevel="0" collapsed="false">
      <c r="A49" s="59"/>
      <c r="B49" s="35"/>
      <c r="C49" s="35"/>
      <c r="D49" s="35"/>
      <c r="E49" s="35"/>
      <c r="F49" s="35"/>
      <c r="G49" s="64"/>
      <c r="H49" s="35"/>
      <c r="I49" s="35"/>
      <c r="J49" s="35"/>
      <c r="K49" s="35"/>
      <c r="L49" s="64"/>
      <c r="M49" s="35"/>
    </row>
    <row r="50" customFormat="false" ht="15" hidden="false" customHeight="false" outlineLevel="0" collapsed="false">
      <c r="A50" s="59"/>
      <c r="B50" s="35"/>
      <c r="C50" s="35"/>
      <c r="D50" s="35"/>
      <c r="E50" s="35"/>
      <c r="F50" s="35"/>
      <c r="G50" s="64"/>
      <c r="H50" s="35"/>
      <c r="I50" s="35"/>
      <c r="J50" s="35"/>
      <c r="K50" s="35"/>
      <c r="L50" s="64"/>
      <c r="M50" s="35"/>
    </row>
    <row r="51" customFormat="false" ht="15" hidden="false" customHeight="false" outlineLevel="0" collapsed="false">
      <c r="A51" s="59"/>
      <c r="B51" s="35"/>
      <c r="C51" s="35"/>
      <c r="D51" s="35"/>
      <c r="E51" s="35"/>
      <c r="F51" s="35"/>
      <c r="G51" s="64"/>
      <c r="H51" s="35"/>
      <c r="I51" s="35"/>
      <c r="J51" s="35"/>
      <c r="K51" s="35"/>
      <c r="L51" s="64"/>
      <c r="M51" s="35"/>
    </row>
    <row r="52" customFormat="false" ht="15" hidden="false" customHeight="false" outlineLevel="0" collapsed="false">
      <c r="A52" s="59"/>
      <c r="B52" s="35"/>
      <c r="C52" s="35"/>
      <c r="D52" s="35"/>
      <c r="E52" s="35"/>
      <c r="F52" s="35"/>
      <c r="G52" s="64"/>
      <c r="H52" s="35"/>
      <c r="I52" s="35"/>
      <c r="J52" s="35"/>
      <c r="K52" s="35"/>
      <c r="L52" s="64"/>
      <c r="M52" s="35"/>
    </row>
    <row r="53" customFormat="false" ht="15" hidden="false" customHeight="false" outlineLevel="0" collapsed="false">
      <c r="A53" s="59"/>
      <c r="B53" s="35"/>
      <c r="C53" s="35"/>
      <c r="D53" s="35"/>
      <c r="E53" s="35"/>
      <c r="F53" s="35"/>
      <c r="G53" s="64"/>
      <c r="H53" s="35"/>
      <c r="I53" s="35"/>
      <c r="J53" s="35"/>
      <c r="K53" s="35"/>
      <c r="L53" s="64"/>
      <c r="M53" s="35"/>
    </row>
    <row r="54" customFormat="false" ht="15" hidden="false" customHeight="false" outlineLevel="0" collapsed="false">
      <c r="A54" s="59"/>
      <c r="B54" s="35"/>
      <c r="C54" s="35"/>
      <c r="D54" s="35"/>
      <c r="E54" s="35"/>
      <c r="F54" s="35"/>
      <c r="G54" s="64"/>
      <c r="H54" s="35"/>
      <c r="I54" s="35"/>
      <c r="J54" s="35"/>
      <c r="K54" s="35"/>
      <c r="L54" s="64"/>
      <c r="M54" s="35"/>
    </row>
    <row r="55" customFormat="false" ht="15" hidden="false" customHeight="false" outlineLevel="0" collapsed="false">
      <c r="A55" s="59"/>
      <c r="B55" s="35"/>
      <c r="C55" s="35"/>
      <c r="D55" s="35"/>
      <c r="E55" s="35"/>
      <c r="F55" s="35"/>
      <c r="G55" s="64"/>
      <c r="H55" s="35"/>
      <c r="I55" s="35"/>
      <c r="J55" s="35"/>
      <c r="K55" s="35"/>
      <c r="L55" s="64"/>
      <c r="M55" s="35"/>
    </row>
    <row r="56" customFormat="false" ht="15" hidden="false" customHeight="false" outlineLevel="0" collapsed="false">
      <c r="A56" s="59"/>
      <c r="B56" s="35"/>
      <c r="C56" s="35"/>
      <c r="D56" s="35"/>
      <c r="E56" s="35"/>
      <c r="F56" s="35"/>
      <c r="G56" s="64"/>
      <c r="H56" s="35"/>
      <c r="I56" s="35"/>
      <c r="J56" s="35"/>
      <c r="K56" s="35"/>
      <c r="L56" s="64"/>
      <c r="M56" s="35"/>
    </row>
    <row r="57" customFormat="false" ht="15" hidden="false" customHeight="false" outlineLevel="0" collapsed="false">
      <c r="A57" s="59"/>
      <c r="B57" s="35"/>
      <c r="C57" s="35"/>
      <c r="D57" s="35"/>
      <c r="E57" s="35"/>
      <c r="F57" s="35"/>
      <c r="G57" s="64"/>
      <c r="H57" s="35"/>
      <c r="I57" s="35"/>
      <c r="J57" s="35"/>
      <c r="K57" s="35"/>
      <c r="L57" s="64"/>
      <c r="M57" s="35"/>
    </row>
    <row r="58" customFormat="false" ht="15" hidden="false" customHeight="false" outlineLevel="0" collapsed="false">
      <c r="A58" s="59"/>
      <c r="B58" s="35"/>
      <c r="C58" s="35"/>
      <c r="D58" s="35"/>
      <c r="E58" s="35"/>
      <c r="F58" s="35"/>
      <c r="G58" s="64"/>
      <c r="H58" s="35"/>
      <c r="I58" s="35"/>
      <c r="J58" s="35"/>
      <c r="K58" s="35"/>
      <c r="L58" s="64"/>
      <c r="M58" s="35"/>
    </row>
    <row r="59" customFormat="false" ht="15" hidden="false" customHeight="false" outlineLevel="0" collapsed="false">
      <c r="A59" s="59"/>
      <c r="B59" s="35"/>
      <c r="C59" s="35"/>
      <c r="D59" s="35"/>
      <c r="E59" s="35"/>
      <c r="F59" s="35"/>
      <c r="G59" s="64"/>
      <c r="H59" s="35"/>
      <c r="I59" s="35"/>
      <c r="J59" s="35"/>
      <c r="K59" s="35"/>
      <c r="L59" s="64"/>
      <c r="M59" s="35"/>
    </row>
    <row r="60" customFormat="false" ht="15" hidden="false" customHeight="false" outlineLevel="0" collapsed="false">
      <c r="A60" s="59"/>
      <c r="B60" s="35"/>
      <c r="C60" s="35"/>
      <c r="D60" s="35"/>
      <c r="E60" s="35"/>
      <c r="F60" s="35"/>
      <c r="G60" s="64"/>
      <c r="H60" s="35"/>
      <c r="I60" s="35"/>
      <c r="J60" s="35"/>
      <c r="K60" s="35"/>
      <c r="L60" s="64"/>
      <c r="M60" s="35"/>
    </row>
    <row r="61" customFormat="false" ht="15" hidden="false" customHeight="false" outlineLevel="0" collapsed="false">
      <c r="A61" s="59"/>
      <c r="B61" s="35"/>
      <c r="C61" s="35"/>
      <c r="D61" s="35"/>
      <c r="E61" s="35"/>
      <c r="F61" s="35"/>
      <c r="G61" s="64"/>
      <c r="H61" s="35"/>
      <c r="I61" s="35"/>
      <c r="J61" s="35"/>
      <c r="K61" s="35"/>
      <c r="L61" s="64"/>
      <c r="M61" s="35"/>
    </row>
    <row r="62" customFormat="false" ht="15" hidden="false" customHeight="false" outlineLevel="0" collapsed="false">
      <c r="A62" s="59"/>
      <c r="B62" s="35"/>
      <c r="C62" s="35"/>
      <c r="D62" s="35"/>
      <c r="E62" s="35"/>
      <c r="F62" s="35"/>
      <c r="G62" s="64"/>
      <c r="H62" s="35"/>
      <c r="I62" s="35"/>
      <c r="J62" s="35"/>
      <c r="K62" s="35"/>
      <c r="L62" s="64"/>
      <c r="M62" s="35"/>
    </row>
    <row r="63" customFormat="false" ht="15" hidden="false" customHeight="false" outlineLevel="0" collapsed="false">
      <c r="A63" s="59"/>
      <c r="B63" s="35"/>
      <c r="C63" s="35"/>
      <c r="D63" s="35"/>
      <c r="E63" s="35"/>
      <c r="F63" s="35"/>
      <c r="G63" s="64"/>
      <c r="H63" s="35"/>
      <c r="I63" s="35"/>
      <c r="J63" s="35"/>
      <c r="K63" s="35"/>
      <c r="L63" s="64"/>
      <c r="M63" s="35"/>
    </row>
    <row r="64" customFormat="false" ht="15" hidden="false" customHeight="false" outlineLevel="0" collapsed="false">
      <c r="A64" s="59"/>
      <c r="B64" s="35"/>
      <c r="C64" s="35"/>
      <c r="D64" s="35"/>
      <c r="E64" s="35"/>
      <c r="F64" s="35"/>
      <c r="G64" s="64"/>
      <c r="H64" s="35"/>
      <c r="I64" s="35"/>
      <c r="J64" s="35"/>
      <c r="K64" s="35"/>
      <c r="L64" s="64"/>
      <c r="M64" s="35"/>
    </row>
    <row r="65" customFormat="false" ht="15" hidden="false" customHeight="false" outlineLevel="0" collapsed="false">
      <c r="A65" s="59"/>
      <c r="B65" s="35"/>
      <c r="C65" s="35"/>
      <c r="D65" s="35"/>
      <c r="E65" s="35"/>
      <c r="F65" s="35"/>
      <c r="G65" s="64"/>
      <c r="H65" s="35"/>
      <c r="I65" s="35"/>
      <c r="J65" s="35"/>
      <c r="K65" s="35"/>
      <c r="L65" s="64"/>
      <c r="M65" s="35"/>
    </row>
    <row r="66" customFormat="false" ht="15" hidden="false" customHeight="false" outlineLevel="0" collapsed="false">
      <c r="A66" s="59"/>
      <c r="B66" s="35"/>
      <c r="C66" s="35"/>
      <c r="D66" s="35"/>
      <c r="E66" s="35"/>
      <c r="F66" s="35"/>
      <c r="G66" s="64"/>
      <c r="H66" s="35"/>
      <c r="I66" s="35"/>
      <c r="J66" s="35"/>
      <c r="K66" s="35"/>
      <c r="L66" s="64"/>
      <c r="M66" s="35"/>
    </row>
    <row r="67" customFormat="false" ht="15" hidden="false" customHeight="false" outlineLevel="0" collapsed="false">
      <c r="A67" s="59"/>
      <c r="B67" s="35"/>
      <c r="C67" s="35"/>
      <c r="D67" s="35"/>
      <c r="E67" s="35"/>
      <c r="F67" s="35"/>
      <c r="G67" s="64"/>
      <c r="H67" s="35"/>
      <c r="I67" s="35"/>
      <c r="J67" s="35"/>
      <c r="K67" s="35"/>
      <c r="L67" s="64"/>
      <c r="M67" s="35"/>
    </row>
    <row r="68" customFormat="false" ht="15" hidden="false" customHeight="false" outlineLevel="0" collapsed="false">
      <c r="A68" s="59"/>
      <c r="B68" s="35"/>
      <c r="C68" s="35"/>
      <c r="D68" s="35"/>
      <c r="E68" s="35"/>
      <c r="F68" s="35"/>
      <c r="G68" s="64"/>
      <c r="H68" s="35"/>
      <c r="I68" s="35"/>
      <c r="J68" s="35"/>
      <c r="K68" s="35"/>
      <c r="L68" s="64"/>
      <c r="M68" s="35"/>
    </row>
    <row r="69" customFormat="false" ht="15" hidden="false" customHeight="false" outlineLevel="0" collapsed="false">
      <c r="A69" s="59"/>
      <c r="B69" s="35"/>
      <c r="C69" s="35"/>
      <c r="D69" s="35"/>
      <c r="E69" s="35"/>
      <c r="F69" s="35"/>
      <c r="G69" s="64"/>
      <c r="H69" s="35"/>
      <c r="I69" s="35"/>
      <c r="J69" s="35"/>
      <c r="K69" s="35"/>
      <c r="L69" s="64"/>
      <c r="M69" s="35"/>
    </row>
    <row r="70" customFormat="false" ht="15" hidden="false" customHeight="false" outlineLevel="0" collapsed="false">
      <c r="A70" s="59"/>
      <c r="B70" s="35"/>
      <c r="C70" s="35"/>
      <c r="D70" s="35"/>
      <c r="E70" s="35"/>
      <c r="F70" s="35"/>
      <c r="G70" s="64"/>
      <c r="H70" s="35"/>
      <c r="I70" s="35"/>
      <c r="J70" s="35"/>
      <c r="K70" s="35"/>
      <c r="L70" s="64"/>
      <c r="M70" s="35"/>
    </row>
    <row r="71" customFormat="false" ht="15" hidden="false" customHeight="false" outlineLevel="0" collapsed="false">
      <c r="A71" s="59"/>
      <c r="B71" s="35"/>
      <c r="C71" s="35"/>
      <c r="D71" s="35"/>
      <c r="E71" s="35"/>
      <c r="F71" s="35"/>
      <c r="G71" s="64"/>
      <c r="H71" s="35"/>
      <c r="I71" s="35"/>
      <c r="J71" s="35"/>
      <c r="K71" s="35"/>
      <c r="L71" s="64"/>
      <c r="M71" s="35"/>
    </row>
    <row r="72" customFormat="false" ht="15" hidden="false" customHeight="false" outlineLevel="0" collapsed="false">
      <c r="A72" s="59"/>
      <c r="B72" s="35"/>
      <c r="C72" s="35"/>
      <c r="D72" s="35"/>
      <c r="E72" s="35"/>
      <c r="F72" s="35"/>
      <c r="G72" s="64"/>
      <c r="H72" s="35"/>
      <c r="I72" s="35"/>
      <c r="J72" s="35"/>
      <c r="K72" s="35"/>
      <c r="L72" s="64"/>
      <c r="M72" s="35"/>
    </row>
    <row r="73" customFormat="false" ht="15" hidden="false" customHeight="false" outlineLevel="0" collapsed="false">
      <c r="A73" s="59"/>
      <c r="B73" s="35"/>
      <c r="C73" s="35"/>
      <c r="D73" s="35"/>
      <c r="E73" s="35"/>
      <c r="F73" s="35"/>
      <c r="G73" s="64"/>
      <c r="H73" s="35"/>
      <c r="I73" s="35"/>
      <c r="J73" s="35"/>
      <c r="K73" s="35"/>
      <c r="L73" s="64"/>
      <c r="M73" s="35"/>
    </row>
    <row r="74" customFormat="false" ht="15" hidden="false" customHeight="false" outlineLevel="0" collapsed="false">
      <c r="A74" s="59"/>
      <c r="B74" s="35"/>
      <c r="C74" s="35"/>
      <c r="D74" s="35"/>
      <c r="E74" s="35"/>
      <c r="F74" s="35"/>
      <c r="G74" s="64"/>
      <c r="H74" s="35"/>
      <c r="I74" s="35"/>
      <c r="J74" s="35"/>
      <c r="K74" s="35"/>
      <c r="L74" s="64"/>
      <c r="M74" s="35"/>
    </row>
    <row r="75" customFormat="false" ht="15" hidden="false" customHeight="false" outlineLevel="0" collapsed="false">
      <c r="A75" s="59"/>
      <c r="B75" s="35"/>
      <c r="C75" s="35"/>
      <c r="D75" s="35"/>
      <c r="E75" s="35"/>
      <c r="F75" s="35"/>
      <c r="G75" s="64"/>
      <c r="H75" s="35"/>
      <c r="I75" s="35"/>
      <c r="J75" s="35"/>
      <c r="K75" s="35"/>
      <c r="L75" s="64"/>
      <c r="M75" s="35"/>
    </row>
    <row r="76" customFormat="false" ht="15" hidden="false" customHeight="false" outlineLevel="0" collapsed="false">
      <c r="A76" s="59"/>
      <c r="B76" s="35"/>
      <c r="C76" s="35"/>
      <c r="D76" s="35"/>
      <c r="E76" s="35"/>
      <c r="F76" s="35"/>
      <c r="G76" s="64"/>
      <c r="H76" s="35"/>
      <c r="I76" s="35"/>
      <c r="J76" s="35"/>
      <c r="K76" s="35"/>
      <c r="L76" s="64"/>
      <c r="M76" s="35"/>
    </row>
    <row r="77" customFormat="false" ht="15" hidden="false" customHeight="false" outlineLevel="0" collapsed="false">
      <c r="A77" s="59"/>
      <c r="B77" s="35"/>
      <c r="C77" s="35"/>
      <c r="D77" s="35"/>
      <c r="E77" s="35"/>
      <c r="F77" s="35"/>
      <c r="G77" s="64"/>
      <c r="H77" s="35"/>
      <c r="I77" s="35"/>
      <c r="J77" s="35"/>
      <c r="K77" s="35"/>
      <c r="L77" s="64"/>
      <c r="M77" s="35"/>
    </row>
    <row r="78" customFormat="false" ht="15" hidden="false" customHeight="false" outlineLevel="0" collapsed="false">
      <c r="A78" s="59"/>
      <c r="B78" s="35"/>
      <c r="C78" s="35"/>
      <c r="D78" s="35"/>
      <c r="E78" s="35"/>
      <c r="F78" s="35"/>
      <c r="G78" s="64"/>
      <c r="H78" s="35"/>
      <c r="I78" s="35"/>
      <c r="J78" s="35"/>
      <c r="K78" s="35"/>
      <c r="L78" s="64"/>
      <c r="M78" s="35"/>
    </row>
    <row r="79" customFormat="false" ht="15" hidden="false" customHeight="false" outlineLevel="0" collapsed="false">
      <c r="A79" s="59"/>
      <c r="B79" s="35"/>
      <c r="C79" s="35"/>
      <c r="D79" s="35"/>
      <c r="E79" s="35"/>
      <c r="F79" s="35"/>
      <c r="G79" s="64"/>
      <c r="H79" s="35"/>
      <c r="I79" s="35"/>
      <c r="J79" s="35"/>
      <c r="K79" s="35"/>
      <c r="L79" s="64"/>
      <c r="M79" s="35"/>
    </row>
    <row r="80" customFormat="false" ht="15" hidden="false" customHeight="false" outlineLevel="0" collapsed="false">
      <c r="A80" s="59"/>
      <c r="B80" s="35"/>
      <c r="C80" s="35"/>
      <c r="D80" s="35"/>
      <c r="E80" s="35"/>
      <c r="F80" s="35"/>
      <c r="G80" s="64"/>
      <c r="H80" s="35"/>
      <c r="I80" s="35"/>
      <c r="J80" s="35"/>
      <c r="K80" s="35"/>
      <c r="L80" s="64"/>
      <c r="M80" s="35"/>
    </row>
    <row r="81" customFormat="false" ht="15" hidden="false" customHeight="false" outlineLevel="0" collapsed="false">
      <c r="A81" s="59"/>
      <c r="B81" s="35"/>
      <c r="C81" s="35"/>
      <c r="D81" s="35"/>
      <c r="E81" s="35"/>
      <c r="F81" s="35"/>
      <c r="G81" s="64"/>
      <c r="H81" s="35"/>
      <c r="I81" s="35"/>
      <c r="J81" s="35"/>
      <c r="K81" s="35"/>
      <c r="L81" s="64"/>
      <c r="M81" s="35"/>
    </row>
    <row r="82" customFormat="false" ht="15" hidden="false" customHeight="false" outlineLevel="0" collapsed="false">
      <c r="A82" s="59"/>
      <c r="B82" s="35"/>
      <c r="C82" s="35"/>
      <c r="D82" s="35"/>
      <c r="E82" s="35"/>
      <c r="F82" s="35"/>
      <c r="G82" s="64"/>
      <c r="H82" s="35"/>
      <c r="I82" s="35"/>
      <c r="J82" s="35"/>
      <c r="K82" s="35"/>
      <c r="L82" s="64"/>
      <c r="M82" s="35"/>
    </row>
    <row r="83" customFormat="false" ht="15" hidden="false" customHeight="false" outlineLevel="0" collapsed="false">
      <c r="A83" s="59"/>
      <c r="B83" s="35"/>
      <c r="C83" s="35"/>
      <c r="D83" s="35"/>
      <c r="E83" s="35"/>
      <c r="F83" s="35"/>
      <c r="G83" s="64"/>
      <c r="H83" s="35"/>
      <c r="I83" s="35"/>
      <c r="J83" s="35"/>
      <c r="K83" s="35"/>
      <c r="L83" s="64"/>
      <c r="M83" s="35"/>
    </row>
    <row r="84" customFormat="false" ht="15" hidden="false" customHeight="false" outlineLevel="0" collapsed="false">
      <c r="A84" s="59"/>
      <c r="B84" s="35"/>
      <c r="C84" s="35"/>
      <c r="D84" s="35"/>
      <c r="E84" s="35"/>
      <c r="F84" s="35"/>
      <c r="G84" s="64"/>
      <c r="H84" s="35"/>
      <c r="I84" s="35"/>
      <c r="J84" s="35"/>
      <c r="K84" s="35"/>
      <c r="L84" s="64"/>
      <c r="M84" s="35"/>
    </row>
    <row r="85" customFormat="false" ht="15" hidden="false" customHeight="false" outlineLevel="0" collapsed="false">
      <c r="A85" s="59"/>
      <c r="B85" s="35"/>
      <c r="C85" s="35"/>
      <c r="D85" s="35"/>
      <c r="E85" s="35"/>
      <c r="F85" s="35"/>
      <c r="G85" s="64"/>
      <c r="H85" s="35"/>
      <c r="I85" s="35"/>
      <c r="J85" s="35"/>
      <c r="K85" s="35"/>
      <c r="L85" s="64"/>
      <c r="M85" s="35"/>
    </row>
    <row r="86" customFormat="false" ht="15" hidden="false" customHeight="false" outlineLevel="0" collapsed="false">
      <c r="A86" s="59"/>
      <c r="B86" s="35"/>
      <c r="C86" s="35"/>
      <c r="D86" s="35"/>
      <c r="E86" s="35"/>
      <c r="F86" s="35"/>
      <c r="G86" s="64"/>
      <c r="H86" s="35"/>
      <c r="I86" s="35"/>
      <c r="J86" s="35"/>
      <c r="K86" s="35"/>
      <c r="L86" s="64"/>
      <c r="M86" s="35"/>
    </row>
    <row r="87" customFormat="false" ht="15" hidden="false" customHeight="false" outlineLevel="0" collapsed="false">
      <c r="A87" s="59"/>
      <c r="B87" s="35"/>
      <c r="C87" s="35"/>
      <c r="D87" s="35"/>
      <c r="E87" s="35"/>
      <c r="F87" s="35"/>
      <c r="G87" s="64"/>
      <c r="H87" s="35"/>
      <c r="I87" s="35"/>
      <c r="J87" s="35"/>
      <c r="K87" s="35"/>
      <c r="L87" s="64"/>
      <c r="M87" s="35"/>
    </row>
    <row r="88" customFormat="false" ht="15" hidden="false" customHeight="false" outlineLevel="0" collapsed="false">
      <c r="A88" s="59"/>
      <c r="B88" s="35"/>
      <c r="C88" s="35"/>
      <c r="D88" s="35"/>
      <c r="E88" s="35"/>
      <c r="F88" s="35"/>
      <c r="G88" s="64"/>
      <c r="H88" s="35"/>
      <c r="I88" s="35"/>
      <c r="J88" s="35"/>
      <c r="K88" s="35"/>
      <c r="L88" s="64"/>
      <c r="M88" s="35"/>
    </row>
    <row r="89" customFormat="false" ht="15" hidden="false" customHeight="false" outlineLevel="0" collapsed="false">
      <c r="A89" s="59"/>
      <c r="B89" s="35"/>
      <c r="C89" s="35"/>
      <c r="D89" s="35"/>
      <c r="E89" s="35"/>
      <c r="F89" s="35"/>
      <c r="G89" s="64"/>
      <c r="H89" s="35"/>
      <c r="I89" s="35"/>
      <c r="J89" s="35"/>
      <c r="K89" s="35"/>
      <c r="L89" s="64"/>
      <c r="M89" s="35"/>
    </row>
    <row r="90" customFormat="false" ht="15" hidden="false" customHeight="false" outlineLevel="0" collapsed="false">
      <c r="A90" s="59"/>
      <c r="B90" s="35"/>
      <c r="C90" s="35"/>
      <c r="D90" s="35"/>
      <c r="E90" s="35"/>
      <c r="F90" s="35"/>
      <c r="G90" s="64"/>
      <c r="H90" s="35"/>
      <c r="I90" s="35"/>
      <c r="J90" s="35"/>
      <c r="K90" s="35"/>
      <c r="L90" s="64"/>
      <c r="M90" s="35"/>
    </row>
    <row r="91" customFormat="false" ht="15" hidden="false" customHeight="false" outlineLevel="0" collapsed="false">
      <c r="A91" s="59"/>
      <c r="B91" s="35"/>
      <c r="C91" s="35"/>
      <c r="D91" s="35"/>
      <c r="E91" s="35"/>
      <c r="F91" s="35"/>
      <c r="G91" s="64"/>
      <c r="H91" s="35"/>
      <c r="I91" s="35"/>
      <c r="J91" s="35"/>
      <c r="K91" s="35"/>
      <c r="L91" s="64"/>
      <c r="M91" s="35"/>
    </row>
    <row r="92" customFormat="false" ht="15" hidden="false" customHeight="false" outlineLevel="0" collapsed="false">
      <c r="A92" s="59"/>
      <c r="B92" s="35"/>
      <c r="C92" s="35"/>
      <c r="D92" s="35"/>
      <c r="E92" s="35"/>
      <c r="F92" s="35"/>
      <c r="G92" s="64"/>
      <c r="H92" s="35"/>
      <c r="I92" s="35"/>
      <c r="J92" s="35"/>
      <c r="K92" s="35"/>
      <c r="L92" s="64"/>
      <c r="M92" s="35"/>
    </row>
    <row r="93" customFormat="false" ht="15" hidden="false" customHeight="false" outlineLevel="0" collapsed="false">
      <c r="A93" s="59"/>
      <c r="B93" s="35"/>
      <c r="C93" s="35"/>
      <c r="D93" s="35"/>
      <c r="E93" s="35"/>
      <c r="F93" s="35"/>
      <c r="G93" s="64"/>
      <c r="H93" s="35"/>
      <c r="I93" s="35"/>
      <c r="J93" s="35"/>
      <c r="K93" s="35"/>
      <c r="L93" s="64"/>
      <c r="M93" s="35"/>
    </row>
    <row r="94" customFormat="false" ht="15" hidden="false" customHeight="false" outlineLevel="0" collapsed="false">
      <c r="A94" s="59"/>
      <c r="B94" s="35"/>
      <c r="C94" s="35"/>
      <c r="D94" s="35"/>
      <c r="E94" s="35"/>
      <c r="F94" s="35"/>
      <c r="G94" s="64"/>
      <c r="H94" s="35"/>
      <c r="I94" s="35"/>
      <c r="J94" s="35"/>
      <c r="K94" s="35"/>
      <c r="L94" s="64"/>
      <c r="M94" s="35"/>
    </row>
    <row r="95" customFormat="false" ht="15" hidden="false" customHeight="false" outlineLevel="0" collapsed="false">
      <c r="A95" s="59"/>
      <c r="B95" s="35"/>
      <c r="C95" s="35"/>
      <c r="D95" s="35"/>
      <c r="E95" s="35"/>
      <c r="F95" s="35"/>
      <c r="G95" s="64"/>
      <c r="H95" s="35"/>
      <c r="I95" s="35"/>
      <c r="J95" s="35"/>
      <c r="K95" s="35"/>
      <c r="L95" s="64"/>
      <c r="M95" s="35"/>
    </row>
    <row r="96" customFormat="false" ht="15" hidden="false" customHeight="false" outlineLevel="0" collapsed="false">
      <c r="A96" s="59"/>
      <c r="B96" s="35"/>
      <c r="C96" s="35"/>
      <c r="D96" s="35"/>
      <c r="E96" s="35"/>
      <c r="F96" s="35"/>
      <c r="G96" s="64"/>
      <c r="H96" s="35"/>
      <c r="I96" s="35"/>
      <c r="J96" s="35"/>
      <c r="K96" s="35"/>
      <c r="L96" s="64"/>
      <c r="M96" s="35"/>
    </row>
    <row r="97" customFormat="false" ht="15" hidden="false" customHeight="false" outlineLevel="0" collapsed="false">
      <c r="A97" s="59"/>
      <c r="B97" s="35"/>
      <c r="C97" s="35"/>
      <c r="D97" s="35"/>
      <c r="E97" s="35"/>
      <c r="F97" s="35"/>
      <c r="G97" s="64"/>
      <c r="H97" s="35"/>
      <c r="I97" s="35"/>
      <c r="J97" s="35"/>
      <c r="K97" s="35"/>
      <c r="L97" s="64"/>
      <c r="M97" s="35"/>
    </row>
    <row r="98" customFormat="false" ht="15" hidden="false" customHeight="false" outlineLevel="0" collapsed="false">
      <c r="A98" s="59"/>
      <c r="B98" s="35"/>
      <c r="C98" s="35"/>
      <c r="D98" s="35"/>
      <c r="E98" s="35"/>
      <c r="F98" s="35"/>
      <c r="G98" s="64"/>
      <c r="H98" s="35"/>
      <c r="I98" s="35"/>
      <c r="J98" s="35"/>
      <c r="K98" s="35"/>
      <c r="L98" s="64"/>
      <c r="M98" s="35"/>
    </row>
    <row r="99" customFormat="false" ht="15" hidden="false" customHeight="false" outlineLevel="0" collapsed="false">
      <c r="A99" s="59"/>
      <c r="B99" s="35"/>
      <c r="C99" s="35"/>
      <c r="D99" s="35"/>
      <c r="E99" s="35"/>
      <c r="F99" s="35"/>
      <c r="G99" s="64"/>
      <c r="H99" s="35"/>
      <c r="I99" s="35"/>
      <c r="J99" s="35"/>
      <c r="K99" s="35"/>
      <c r="L99" s="64"/>
      <c r="M99" s="35"/>
    </row>
    <row r="100" customFormat="false" ht="15" hidden="false" customHeight="false" outlineLevel="0" collapsed="false">
      <c r="A100" s="59"/>
      <c r="B100" s="35"/>
      <c r="C100" s="35"/>
      <c r="D100" s="35"/>
      <c r="E100" s="35"/>
      <c r="F100" s="35"/>
      <c r="G100" s="64"/>
      <c r="H100" s="35"/>
      <c r="I100" s="35"/>
      <c r="J100" s="35"/>
      <c r="K100" s="35"/>
      <c r="L100" s="64"/>
      <c r="M100" s="35"/>
    </row>
    <row r="101" customFormat="false" ht="15" hidden="false" customHeight="false" outlineLevel="0" collapsed="false">
      <c r="A101" s="59"/>
      <c r="B101" s="35"/>
      <c r="C101" s="35"/>
      <c r="D101" s="35"/>
      <c r="E101" s="35"/>
      <c r="F101" s="35"/>
      <c r="G101" s="64"/>
      <c r="H101" s="35"/>
      <c r="I101" s="35"/>
      <c r="J101" s="35"/>
      <c r="K101" s="35"/>
      <c r="L101" s="64"/>
      <c r="M101" s="35"/>
    </row>
    <row r="102" customFormat="false" ht="15" hidden="false" customHeight="false" outlineLevel="0" collapsed="false">
      <c r="A102" s="59"/>
      <c r="B102" s="35"/>
      <c r="C102" s="35"/>
      <c r="D102" s="35"/>
      <c r="E102" s="35"/>
      <c r="F102" s="35"/>
      <c r="G102" s="64"/>
      <c r="H102" s="35"/>
      <c r="I102" s="35"/>
      <c r="J102" s="35"/>
      <c r="K102" s="35"/>
      <c r="L102" s="64"/>
      <c r="M102" s="35"/>
    </row>
    <row r="103" customFormat="false" ht="15" hidden="false" customHeight="false" outlineLevel="0" collapsed="false">
      <c r="A103" s="59"/>
      <c r="B103" s="35"/>
      <c r="C103" s="35"/>
      <c r="D103" s="35"/>
      <c r="E103" s="35"/>
      <c r="F103" s="35"/>
      <c r="G103" s="64"/>
      <c r="H103" s="35"/>
      <c r="I103" s="35"/>
      <c r="J103" s="35"/>
      <c r="K103" s="35"/>
      <c r="L103" s="64"/>
      <c r="M103" s="35"/>
    </row>
    <row r="104" customFormat="false" ht="15" hidden="false" customHeight="false" outlineLevel="0" collapsed="false">
      <c r="A104" s="59"/>
      <c r="B104" s="35"/>
      <c r="C104" s="35"/>
      <c r="D104" s="35"/>
      <c r="E104" s="35"/>
      <c r="F104" s="35"/>
      <c r="G104" s="64"/>
      <c r="H104" s="35"/>
      <c r="I104" s="35"/>
      <c r="J104" s="35"/>
      <c r="K104" s="35"/>
      <c r="L104" s="64"/>
      <c r="M104" s="35"/>
    </row>
    <row r="105" customFormat="false" ht="15" hidden="false" customHeight="false" outlineLevel="0" collapsed="false">
      <c r="A105" s="59"/>
      <c r="B105" s="35"/>
      <c r="C105" s="35"/>
      <c r="D105" s="35"/>
      <c r="E105" s="35"/>
      <c r="F105" s="35"/>
      <c r="G105" s="64"/>
      <c r="H105" s="35"/>
      <c r="I105" s="35"/>
      <c r="J105" s="35"/>
      <c r="K105" s="35"/>
      <c r="L105" s="64"/>
      <c r="M105" s="35"/>
    </row>
    <row r="106" customFormat="false" ht="15" hidden="false" customHeight="false" outlineLevel="0" collapsed="false">
      <c r="A106" s="59"/>
      <c r="B106" s="35"/>
      <c r="C106" s="35"/>
      <c r="D106" s="35"/>
      <c r="E106" s="35"/>
      <c r="F106" s="35"/>
      <c r="G106" s="64"/>
      <c r="H106" s="35"/>
      <c r="I106" s="35"/>
      <c r="J106" s="35"/>
      <c r="K106" s="35"/>
      <c r="L106" s="64"/>
      <c r="M106" s="35"/>
    </row>
    <row r="107" customFormat="false" ht="15" hidden="false" customHeight="false" outlineLevel="0" collapsed="false">
      <c r="A107" s="59"/>
      <c r="B107" s="35"/>
      <c r="C107" s="35"/>
      <c r="D107" s="35"/>
      <c r="E107" s="35"/>
      <c r="F107" s="35"/>
      <c r="G107" s="64"/>
      <c r="H107" s="35"/>
      <c r="I107" s="35"/>
      <c r="J107" s="35"/>
      <c r="K107" s="35"/>
      <c r="L107" s="64"/>
      <c r="M107" s="35"/>
    </row>
    <row r="108" customFormat="false" ht="15" hidden="false" customHeight="false" outlineLevel="0" collapsed="false">
      <c r="A108" s="59"/>
      <c r="B108" s="35"/>
      <c r="C108" s="35"/>
      <c r="D108" s="35"/>
      <c r="E108" s="35"/>
      <c r="F108" s="35"/>
      <c r="G108" s="64"/>
      <c r="H108" s="35"/>
      <c r="I108" s="35"/>
      <c r="J108" s="35"/>
      <c r="K108" s="35"/>
      <c r="L108" s="64"/>
      <c r="M108" s="35"/>
    </row>
    <row r="109" customFormat="false" ht="15" hidden="false" customHeight="false" outlineLevel="0" collapsed="false">
      <c r="A109" s="59"/>
      <c r="B109" s="35"/>
      <c r="C109" s="35"/>
      <c r="D109" s="35"/>
      <c r="E109" s="35"/>
      <c r="F109" s="35"/>
      <c r="G109" s="64"/>
      <c r="H109" s="35"/>
      <c r="I109" s="35"/>
      <c r="J109" s="35"/>
      <c r="K109" s="35"/>
      <c r="L109" s="64"/>
      <c r="M109" s="35"/>
    </row>
    <row r="110" customFormat="false" ht="15" hidden="false" customHeight="false" outlineLevel="0" collapsed="false">
      <c r="A110" s="59"/>
      <c r="B110" s="35"/>
      <c r="C110" s="35"/>
      <c r="D110" s="35"/>
      <c r="E110" s="35"/>
      <c r="F110" s="35"/>
      <c r="G110" s="64"/>
      <c r="H110" s="35"/>
      <c r="I110" s="35"/>
      <c r="J110" s="35"/>
      <c r="K110" s="35"/>
      <c r="L110" s="64"/>
      <c r="M110" s="35"/>
    </row>
    <row r="111" customFormat="false" ht="15" hidden="false" customHeight="false" outlineLevel="0" collapsed="false">
      <c r="A111" s="59"/>
      <c r="B111" s="35"/>
      <c r="C111" s="35"/>
      <c r="D111" s="35"/>
      <c r="E111" s="35"/>
      <c r="F111" s="35"/>
      <c r="G111" s="64"/>
      <c r="H111" s="35"/>
      <c r="I111" s="35"/>
      <c r="J111" s="35"/>
      <c r="K111" s="35"/>
      <c r="L111" s="64"/>
      <c r="M111" s="35"/>
    </row>
    <row r="112" customFormat="false" ht="15" hidden="false" customHeight="false" outlineLevel="0" collapsed="false">
      <c r="A112" s="59"/>
      <c r="B112" s="35"/>
      <c r="C112" s="35"/>
      <c r="D112" s="35"/>
      <c r="E112" s="35"/>
      <c r="F112" s="35"/>
      <c r="G112" s="64"/>
      <c r="H112" s="35"/>
      <c r="I112" s="35"/>
      <c r="J112" s="35"/>
      <c r="K112" s="35"/>
      <c r="L112" s="64"/>
      <c r="M112" s="35"/>
    </row>
    <row r="113" customFormat="false" ht="15" hidden="false" customHeight="false" outlineLevel="0" collapsed="false">
      <c r="A113" s="59"/>
      <c r="B113" s="35"/>
      <c r="C113" s="35"/>
      <c r="D113" s="35"/>
      <c r="E113" s="35"/>
      <c r="F113" s="35"/>
      <c r="G113" s="64"/>
      <c r="H113" s="35"/>
      <c r="I113" s="35"/>
      <c r="J113" s="35"/>
      <c r="K113" s="35"/>
      <c r="L113" s="64"/>
      <c r="M113" s="35"/>
    </row>
    <row r="114" customFormat="false" ht="15" hidden="false" customHeight="false" outlineLevel="0" collapsed="false">
      <c r="A114" s="59"/>
      <c r="B114" s="35"/>
      <c r="C114" s="35"/>
      <c r="D114" s="35"/>
      <c r="E114" s="35"/>
      <c r="F114" s="35"/>
      <c r="G114" s="64"/>
      <c r="H114" s="35"/>
      <c r="I114" s="35"/>
      <c r="J114" s="35"/>
      <c r="K114" s="35"/>
      <c r="L114" s="64"/>
      <c r="M114" s="35"/>
    </row>
    <row r="115" customFormat="false" ht="15" hidden="false" customHeight="false" outlineLevel="0" collapsed="false">
      <c r="A115" s="59"/>
      <c r="B115" s="35"/>
      <c r="C115" s="35"/>
      <c r="D115" s="35"/>
      <c r="E115" s="35"/>
      <c r="F115" s="35"/>
      <c r="G115" s="64"/>
      <c r="H115" s="35"/>
      <c r="I115" s="35"/>
      <c r="J115" s="35"/>
      <c r="K115" s="35"/>
      <c r="L115" s="64"/>
      <c r="M115" s="35"/>
    </row>
    <row r="116" customFormat="false" ht="15" hidden="false" customHeight="false" outlineLevel="0" collapsed="false">
      <c r="A116" s="59"/>
      <c r="B116" s="35"/>
      <c r="C116" s="35"/>
      <c r="D116" s="35"/>
      <c r="E116" s="35"/>
      <c r="F116" s="35"/>
      <c r="G116" s="64"/>
      <c r="H116" s="35"/>
      <c r="I116" s="35"/>
      <c r="J116" s="35"/>
      <c r="K116" s="35"/>
      <c r="L116" s="64"/>
      <c r="M116" s="35"/>
    </row>
    <row r="117" customFormat="false" ht="15" hidden="false" customHeight="false" outlineLevel="0" collapsed="false">
      <c r="A117" s="59"/>
      <c r="B117" s="35"/>
      <c r="C117" s="35"/>
      <c r="D117" s="35"/>
      <c r="E117" s="35"/>
      <c r="F117" s="35"/>
      <c r="G117" s="64"/>
      <c r="H117" s="35"/>
      <c r="I117" s="35"/>
      <c r="J117" s="35"/>
      <c r="K117" s="35"/>
      <c r="L117" s="64"/>
      <c r="M117" s="35"/>
    </row>
    <row r="118" customFormat="false" ht="15" hidden="false" customHeight="false" outlineLevel="0" collapsed="false">
      <c r="A118" s="59"/>
      <c r="B118" s="35"/>
      <c r="C118" s="35"/>
      <c r="D118" s="35"/>
      <c r="E118" s="35"/>
      <c r="F118" s="35"/>
      <c r="G118" s="64"/>
      <c r="H118" s="35"/>
      <c r="I118" s="35"/>
      <c r="J118" s="35"/>
      <c r="K118" s="35"/>
      <c r="L118" s="64"/>
      <c r="M118" s="35"/>
    </row>
    <row r="119" customFormat="false" ht="15" hidden="false" customHeight="false" outlineLevel="0" collapsed="false">
      <c r="A119" s="59"/>
      <c r="B119" s="35"/>
      <c r="C119" s="35"/>
      <c r="D119" s="35"/>
      <c r="E119" s="35"/>
      <c r="F119" s="35"/>
      <c r="G119" s="64"/>
      <c r="H119" s="35"/>
      <c r="I119" s="35"/>
      <c r="J119" s="35"/>
      <c r="K119" s="35"/>
      <c r="L119" s="64"/>
      <c r="M119" s="35"/>
    </row>
    <row r="120" customFormat="false" ht="15" hidden="false" customHeight="false" outlineLevel="0" collapsed="false">
      <c r="A120" s="59"/>
      <c r="B120" s="35"/>
      <c r="C120" s="35"/>
      <c r="D120" s="35"/>
      <c r="E120" s="35"/>
      <c r="F120" s="35"/>
      <c r="G120" s="64"/>
      <c r="H120" s="35"/>
      <c r="I120" s="35"/>
      <c r="J120" s="35"/>
      <c r="K120" s="35"/>
      <c r="L120" s="64"/>
      <c r="M120" s="35"/>
    </row>
    <row r="121" customFormat="false" ht="15" hidden="false" customHeight="false" outlineLevel="0" collapsed="false">
      <c r="A121" s="59"/>
      <c r="B121" s="35"/>
      <c r="C121" s="35"/>
      <c r="D121" s="35"/>
      <c r="E121" s="35"/>
      <c r="F121" s="35"/>
      <c r="G121" s="64"/>
      <c r="H121" s="35"/>
      <c r="I121" s="35"/>
      <c r="J121" s="35"/>
      <c r="K121" s="35"/>
      <c r="L121" s="64"/>
      <c r="M121" s="35"/>
    </row>
    <row r="122" customFormat="false" ht="15" hidden="false" customHeight="false" outlineLevel="0" collapsed="false">
      <c r="A122" s="59"/>
      <c r="B122" s="35"/>
      <c r="C122" s="35"/>
      <c r="D122" s="35"/>
      <c r="E122" s="35"/>
      <c r="F122" s="35"/>
      <c r="G122" s="64"/>
      <c r="H122" s="35"/>
      <c r="I122" s="35"/>
      <c r="J122" s="35"/>
      <c r="K122" s="35"/>
      <c r="L122" s="64"/>
      <c r="M122" s="35"/>
    </row>
    <row r="123" customFormat="false" ht="15" hidden="false" customHeight="false" outlineLevel="0" collapsed="false">
      <c r="A123" s="59"/>
      <c r="B123" s="35"/>
      <c r="C123" s="35"/>
      <c r="D123" s="35"/>
      <c r="E123" s="35"/>
      <c r="F123" s="35"/>
      <c r="G123" s="64"/>
      <c r="H123" s="35"/>
      <c r="I123" s="35"/>
      <c r="J123" s="35"/>
      <c r="K123" s="35"/>
      <c r="L123" s="64"/>
      <c r="M123" s="35"/>
    </row>
    <row r="124" customFormat="false" ht="15" hidden="false" customHeight="false" outlineLevel="0" collapsed="false">
      <c r="A124" s="59"/>
      <c r="B124" s="35"/>
      <c r="C124" s="35"/>
      <c r="D124" s="35"/>
      <c r="E124" s="35"/>
      <c r="F124" s="35"/>
      <c r="G124" s="64"/>
      <c r="H124" s="35"/>
      <c r="I124" s="35"/>
      <c r="J124" s="35"/>
      <c r="K124" s="35"/>
      <c r="L124" s="64"/>
      <c r="M124" s="35"/>
    </row>
    <row r="125" customFormat="false" ht="15" hidden="false" customHeight="false" outlineLevel="0" collapsed="false">
      <c r="A125" s="59"/>
      <c r="B125" s="35"/>
      <c r="C125" s="35"/>
      <c r="D125" s="35"/>
      <c r="E125" s="35"/>
      <c r="F125" s="35"/>
      <c r="G125" s="64"/>
      <c r="H125" s="35"/>
      <c r="I125" s="35"/>
      <c r="J125" s="35"/>
      <c r="K125" s="35"/>
      <c r="L125" s="64"/>
      <c r="M125" s="35"/>
    </row>
    <row r="126" customFormat="false" ht="15" hidden="false" customHeight="false" outlineLevel="0" collapsed="false">
      <c r="A126" s="59"/>
      <c r="B126" s="35"/>
      <c r="C126" s="35"/>
      <c r="D126" s="35"/>
      <c r="E126" s="35"/>
      <c r="F126" s="35"/>
      <c r="G126" s="64"/>
      <c r="H126" s="35"/>
      <c r="I126" s="35"/>
      <c r="J126" s="35"/>
      <c r="K126" s="35"/>
      <c r="L126" s="64"/>
      <c r="M126" s="35"/>
    </row>
    <row r="127" customFormat="false" ht="15" hidden="false" customHeight="false" outlineLevel="0" collapsed="false">
      <c r="A127" s="59"/>
      <c r="B127" s="35"/>
      <c r="C127" s="35"/>
      <c r="D127" s="35"/>
      <c r="E127" s="35"/>
      <c r="F127" s="35"/>
      <c r="G127" s="64"/>
      <c r="H127" s="35"/>
      <c r="I127" s="35"/>
      <c r="J127" s="35"/>
      <c r="K127" s="35"/>
      <c r="L127" s="64"/>
      <c r="M127" s="35"/>
    </row>
    <row r="128" customFormat="false" ht="15" hidden="false" customHeight="false" outlineLevel="0" collapsed="false">
      <c r="A128" s="59"/>
      <c r="B128" s="35"/>
      <c r="C128" s="35"/>
      <c r="D128" s="35"/>
      <c r="E128" s="35"/>
      <c r="F128" s="35"/>
      <c r="G128" s="64"/>
      <c r="H128" s="35"/>
      <c r="I128" s="35"/>
      <c r="J128" s="35"/>
      <c r="K128" s="35"/>
      <c r="L128" s="64"/>
      <c r="M128" s="35"/>
    </row>
    <row r="129" customFormat="false" ht="15" hidden="false" customHeight="false" outlineLevel="0" collapsed="false">
      <c r="A129" s="59"/>
      <c r="B129" s="35"/>
      <c r="C129" s="35"/>
      <c r="D129" s="35"/>
      <c r="E129" s="35"/>
      <c r="F129" s="35"/>
      <c r="G129" s="64"/>
      <c r="H129" s="35"/>
      <c r="I129" s="35"/>
      <c r="J129" s="35"/>
      <c r="K129" s="35"/>
      <c r="L129" s="64"/>
      <c r="M129" s="35"/>
    </row>
    <row r="130" customFormat="false" ht="15" hidden="false" customHeight="false" outlineLevel="0" collapsed="false">
      <c r="A130" s="59"/>
      <c r="B130" s="35"/>
      <c r="C130" s="35"/>
      <c r="D130" s="35"/>
      <c r="E130" s="35"/>
      <c r="F130" s="35"/>
      <c r="G130" s="64"/>
      <c r="H130" s="35"/>
      <c r="I130" s="35"/>
      <c r="J130" s="35"/>
      <c r="K130" s="35"/>
      <c r="L130" s="64"/>
      <c r="M130" s="35"/>
    </row>
    <row r="131" customFormat="false" ht="15" hidden="false" customHeight="false" outlineLevel="0" collapsed="false">
      <c r="A131" s="59"/>
      <c r="B131" s="35"/>
      <c r="C131" s="35"/>
      <c r="D131" s="35"/>
      <c r="E131" s="35"/>
      <c r="F131" s="35"/>
      <c r="G131" s="64"/>
      <c r="H131" s="35"/>
      <c r="I131" s="35"/>
      <c r="J131" s="35"/>
      <c r="K131" s="35"/>
      <c r="L131" s="64"/>
      <c r="M131" s="35"/>
    </row>
    <row r="132" customFormat="false" ht="15" hidden="false" customHeight="false" outlineLevel="0" collapsed="false">
      <c r="A132" s="59"/>
      <c r="B132" s="35"/>
      <c r="C132" s="35"/>
      <c r="D132" s="35"/>
      <c r="E132" s="35"/>
      <c r="F132" s="35"/>
      <c r="G132" s="64"/>
      <c r="H132" s="35"/>
      <c r="I132" s="35"/>
      <c r="J132" s="35"/>
      <c r="K132" s="35"/>
      <c r="L132" s="64"/>
      <c r="M132" s="35"/>
    </row>
    <row r="133" customFormat="false" ht="15" hidden="false" customHeight="false" outlineLevel="0" collapsed="false">
      <c r="A133" s="59"/>
      <c r="B133" s="35"/>
      <c r="C133" s="35"/>
      <c r="D133" s="35"/>
      <c r="E133" s="35"/>
      <c r="F133" s="35"/>
      <c r="G133" s="64"/>
      <c r="H133" s="35"/>
      <c r="I133" s="35"/>
      <c r="J133" s="35"/>
      <c r="K133" s="35"/>
      <c r="L133" s="64"/>
      <c r="M133" s="35"/>
    </row>
    <row r="134" customFormat="false" ht="15" hidden="false" customHeight="false" outlineLevel="0" collapsed="false">
      <c r="A134" s="59"/>
      <c r="B134" s="35"/>
      <c r="C134" s="35"/>
      <c r="D134" s="35"/>
      <c r="E134" s="35"/>
      <c r="F134" s="35"/>
      <c r="G134" s="64"/>
      <c r="H134" s="35"/>
      <c r="I134" s="35"/>
      <c r="J134" s="35"/>
      <c r="K134" s="35"/>
      <c r="L134" s="64"/>
      <c r="M134" s="35"/>
    </row>
    <row r="135" customFormat="false" ht="15" hidden="false" customHeight="false" outlineLevel="0" collapsed="false">
      <c r="A135" s="59"/>
      <c r="B135" s="35"/>
      <c r="C135" s="35"/>
      <c r="D135" s="35"/>
      <c r="E135" s="35"/>
      <c r="F135" s="35"/>
      <c r="G135" s="64"/>
      <c r="H135" s="35"/>
      <c r="I135" s="35"/>
      <c r="J135" s="35"/>
      <c r="K135" s="35"/>
      <c r="L135" s="64"/>
      <c r="M135" s="35"/>
    </row>
    <row r="136" customFormat="false" ht="15" hidden="false" customHeight="false" outlineLevel="0" collapsed="false">
      <c r="A136" s="59"/>
      <c r="B136" s="35"/>
      <c r="C136" s="35"/>
      <c r="D136" s="35"/>
      <c r="E136" s="35"/>
      <c r="F136" s="35"/>
      <c r="G136" s="64"/>
      <c r="H136" s="35"/>
      <c r="I136" s="35"/>
      <c r="J136" s="35"/>
      <c r="K136" s="35"/>
      <c r="L136" s="64"/>
      <c r="M136" s="35"/>
    </row>
    <row r="137" customFormat="false" ht="15" hidden="false" customHeight="false" outlineLevel="0" collapsed="false">
      <c r="A137" s="59"/>
      <c r="B137" s="35"/>
      <c r="C137" s="35"/>
      <c r="D137" s="35"/>
      <c r="E137" s="35"/>
      <c r="F137" s="35"/>
      <c r="G137" s="64"/>
      <c r="H137" s="35"/>
      <c r="I137" s="35"/>
      <c r="J137" s="35"/>
      <c r="K137" s="35"/>
      <c r="L137" s="64"/>
      <c r="M137" s="35"/>
    </row>
    <row r="138" customFormat="false" ht="15" hidden="false" customHeight="false" outlineLevel="0" collapsed="false">
      <c r="A138" s="59"/>
      <c r="B138" s="35"/>
      <c r="C138" s="35"/>
      <c r="D138" s="35"/>
      <c r="E138" s="35"/>
      <c r="F138" s="35"/>
      <c r="G138" s="64"/>
      <c r="H138" s="35"/>
      <c r="I138" s="35"/>
      <c r="J138" s="35"/>
      <c r="K138" s="35"/>
      <c r="L138" s="64"/>
      <c r="M138" s="35"/>
    </row>
    <row r="139" customFormat="false" ht="15" hidden="false" customHeight="false" outlineLevel="0" collapsed="false">
      <c r="A139" s="59"/>
      <c r="B139" s="35"/>
      <c r="C139" s="35"/>
      <c r="D139" s="35"/>
      <c r="E139" s="35"/>
      <c r="F139" s="35"/>
      <c r="G139" s="64"/>
      <c r="H139" s="35"/>
      <c r="I139" s="35"/>
      <c r="J139" s="35"/>
      <c r="K139" s="35"/>
      <c r="L139" s="64"/>
      <c r="M139" s="35"/>
    </row>
    <row r="140" customFormat="false" ht="15" hidden="false" customHeight="false" outlineLevel="0" collapsed="false">
      <c r="A140" s="59"/>
      <c r="B140" s="35"/>
      <c r="C140" s="35"/>
      <c r="D140" s="35"/>
      <c r="E140" s="35"/>
      <c r="F140" s="35"/>
      <c r="G140" s="64"/>
      <c r="H140" s="35"/>
      <c r="I140" s="35"/>
      <c r="J140" s="35"/>
      <c r="K140" s="35"/>
      <c r="L140" s="64"/>
      <c r="M140" s="35"/>
    </row>
    <row r="141" customFormat="false" ht="15" hidden="false" customHeight="false" outlineLevel="0" collapsed="false">
      <c r="A141" s="59"/>
      <c r="B141" s="35"/>
      <c r="C141" s="35"/>
      <c r="D141" s="35"/>
      <c r="E141" s="35"/>
      <c r="F141" s="35"/>
      <c r="G141" s="64"/>
      <c r="H141" s="35"/>
      <c r="I141" s="35"/>
      <c r="J141" s="35"/>
      <c r="K141" s="35"/>
      <c r="L141" s="64"/>
      <c r="M141" s="35"/>
    </row>
    <row r="142" customFormat="false" ht="15" hidden="false" customHeight="false" outlineLevel="0" collapsed="false">
      <c r="A142" s="59"/>
      <c r="B142" s="35"/>
      <c r="C142" s="35"/>
      <c r="D142" s="35"/>
      <c r="E142" s="35"/>
      <c r="F142" s="35"/>
      <c r="G142" s="64"/>
      <c r="H142" s="35"/>
      <c r="I142" s="35"/>
      <c r="J142" s="35"/>
      <c r="K142" s="35"/>
      <c r="L142" s="64"/>
      <c r="M142" s="35"/>
    </row>
    <row r="143" customFormat="false" ht="15" hidden="false" customHeight="false" outlineLevel="0" collapsed="false">
      <c r="A143" s="59"/>
      <c r="B143" s="35"/>
      <c r="C143" s="35"/>
      <c r="D143" s="35"/>
      <c r="E143" s="35"/>
      <c r="F143" s="35"/>
      <c r="G143" s="64"/>
      <c r="H143" s="35"/>
      <c r="I143" s="35"/>
      <c r="J143" s="35"/>
      <c r="K143" s="35"/>
      <c r="L143" s="64"/>
      <c r="M143" s="35"/>
    </row>
    <row r="144" customFormat="false" ht="15" hidden="false" customHeight="false" outlineLevel="0" collapsed="false">
      <c r="A144" s="59"/>
      <c r="B144" s="35"/>
      <c r="C144" s="35"/>
      <c r="D144" s="35"/>
      <c r="E144" s="35"/>
      <c r="F144" s="35"/>
      <c r="G144" s="64"/>
      <c r="H144" s="35"/>
      <c r="I144" s="35"/>
      <c r="J144" s="35"/>
      <c r="K144" s="35"/>
      <c r="L144" s="64"/>
      <c r="M144" s="35"/>
    </row>
    <row r="145" customFormat="false" ht="15" hidden="false" customHeight="false" outlineLevel="0" collapsed="false">
      <c r="A145" s="59"/>
      <c r="B145" s="35"/>
      <c r="C145" s="35"/>
      <c r="D145" s="35"/>
      <c r="E145" s="35"/>
      <c r="F145" s="35"/>
      <c r="G145" s="64"/>
      <c r="H145" s="35"/>
      <c r="I145" s="35"/>
      <c r="J145" s="35"/>
      <c r="K145" s="35"/>
      <c r="L145" s="64"/>
      <c r="M145" s="35"/>
    </row>
    <row r="146" customFormat="false" ht="15" hidden="false" customHeight="false" outlineLevel="0" collapsed="false">
      <c r="A146" s="59"/>
      <c r="B146" s="35"/>
      <c r="C146" s="35"/>
      <c r="D146" s="35"/>
      <c r="E146" s="35"/>
      <c r="F146" s="35"/>
      <c r="G146" s="64"/>
      <c r="H146" s="35"/>
      <c r="I146" s="35"/>
      <c r="J146" s="35"/>
      <c r="K146" s="35"/>
      <c r="L146" s="64"/>
      <c r="M146" s="35"/>
    </row>
    <row r="147" customFormat="false" ht="15" hidden="false" customHeight="false" outlineLevel="0" collapsed="false">
      <c r="A147" s="59"/>
      <c r="B147" s="35"/>
      <c r="C147" s="35"/>
      <c r="D147" s="35"/>
      <c r="E147" s="35"/>
      <c r="F147" s="35"/>
      <c r="G147" s="64"/>
      <c r="H147" s="35"/>
      <c r="I147" s="35"/>
      <c r="J147" s="35"/>
      <c r="K147" s="35"/>
      <c r="L147" s="64"/>
      <c r="M147" s="35"/>
    </row>
    <row r="148" customFormat="false" ht="15" hidden="false" customHeight="false" outlineLevel="0" collapsed="false">
      <c r="A148" s="59"/>
      <c r="B148" s="35"/>
      <c r="C148" s="35"/>
      <c r="D148" s="35"/>
      <c r="E148" s="35"/>
      <c r="F148" s="35"/>
      <c r="G148" s="64"/>
      <c r="H148" s="35"/>
      <c r="I148" s="35"/>
      <c r="J148" s="35"/>
      <c r="K148" s="35"/>
      <c r="L148" s="64"/>
      <c r="M148" s="35"/>
    </row>
    <row r="149" customFormat="false" ht="15" hidden="false" customHeight="false" outlineLevel="0" collapsed="false">
      <c r="A149" s="59"/>
      <c r="B149" s="35"/>
      <c r="C149" s="35"/>
      <c r="D149" s="35"/>
      <c r="E149" s="35"/>
      <c r="F149" s="35"/>
      <c r="G149" s="64"/>
      <c r="H149" s="35"/>
      <c r="I149" s="35"/>
      <c r="J149" s="35"/>
      <c r="K149" s="35"/>
      <c r="L149" s="64"/>
      <c r="M149" s="35"/>
    </row>
    <row r="150" customFormat="false" ht="15" hidden="false" customHeight="false" outlineLevel="0" collapsed="false">
      <c r="A150" s="59"/>
      <c r="B150" s="35"/>
      <c r="C150" s="35"/>
      <c r="D150" s="35"/>
      <c r="E150" s="35"/>
      <c r="F150" s="35"/>
      <c r="G150" s="64"/>
      <c r="H150" s="35"/>
      <c r="I150" s="35"/>
      <c r="J150" s="35"/>
      <c r="K150" s="35"/>
      <c r="L150" s="64"/>
      <c r="M150" s="35"/>
    </row>
    <row r="151" customFormat="false" ht="15" hidden="false" customHeight="false" outlineLevel="0" collapsed="false">
      <c r="A151" s="59"/>
      <c r="B151" s="35"/>
      <c r="C151" s="35"/>
      <c r="D151" s="35"/>
      <c r="E151" s="35"/>
      <c r="F151" s="35"/>
      <c r="G151" s="64"/>
      <c r="H151" s="35"/>
      <c r="I151" s="35"/>
      <c r="J151" s="35"/>
      <c r="K151" s="35"/>
      <c r="L151" s="64"/>
      <c r="M151" s="35"/>
    </row>
    <row r="152" customFormat="false" ht="15" hidden="false" customHeight="false" outlineLevel="0" collapsed="false">
      <c r="A152" s="59"/>
      <c r="B152" s="35"/>
      <c r="C152" s="35"/>
      <c r="D152" s="35"/>
      <c r="E152" s="35"/>
      <c r="F152" s="35"/>
      <c r="G152" s="64"/>
      <c r="H152" s="35"/>
      <c r="I152" s="35"/>
      <c r="J152" s="35"/>
      <c r="K152" s="35"/>
      <c r="L152" s="64"/>
      <c r="M152" s="35"/>
    </row>
    <row r="153" customFormat="false" ht="15" hidden="false" customHeight="false" outlineLevel="0" collapsed="false">
      <c r="A153" s="59"/>
      <c r="B153" s="35"/>
      <c r="C153" s="35"/>
      <c r="D153" s="35"/>
      <c r="E153" s="35"/>
      <c r="F153" s="35"/>
      <c r="G153" s="64"/>
      <c r="H153" s="35"/>
      <c r="I153" s="35"/>
      <c r="J153" s="35"/>
      <c r="K153" s="35"/>
      <c r="L153" s="64"/>
      <c r="M153" s="35"/>
    </row>
    <row r="154" customFormat="false" ht="15" hidden="false" customHeight="false" outlineLevel="0" collapsed="false">
      <c r="A154" s="59"/>
      <c r="B154" s="35"/>
      <c r="C154" s="35"/>
      <c r="D154" s="35"/>
      <c r="E154" s="35"/>
      <c r="F154" s="35"/>
      <c r="G154" s="64"/>
      <c r="H154" s="35"/>
      <c r="I154" s="35"/>
      <c r="J154" s="35"/>
      <c r="K154" s="35"/>
      <c r="L154" s="64"/>
      <c r="M154" s="35"/>
    </row>
    <row r="155" customFormat="false" ht="15" hidden="false" customHeight="false" outlineLevel="0" collapsed="false">
      <c r="A155" s="59"/>
      <c r="B155" s="35"/>
      <c r="C155" s="35"/>
      <c r="D155" s="35"/>
      <c r="E155" s="35"/>
      <c r="F155" s="35"/>
      <c r="G155" s="64"/>
      <c r="H155" s="35"/>
      <c r="I155" s="35"/>
      <c r="J155" s="35"/>
      <c r="K155" s="35"/>
      <c r="L155" s="64"/>
      <c r="M155" s="35"/>
    </row>
    <row r="156" customFormat="false" ht="15" hidden="false" customHeight="false" outlineLevel="0" collapsed="false">
      <c r="A156" s="59"/>
      <c r="B156" s="35"/>
      <c r="C156" s="35"/>
      <c r="D156" s="35"/>
      <c r="E156" s="35"/>
      <c r="F156" s="35"/>
      <c r="G156" s="64"/>
      <c r="H156" s="35"/>
      <c r="I156" s="35"/>
      <c r="J156" s="35"/>
      <c r="K156" s="35"/>
      <c r="L156" s="64"/>
      <c r="M156" s="35"/>
    </row>
    <row r="157" customFormat="false" ht="15" hidden="false" customHeight="false" outlineLevel="0" collapsed="false">
      <c r="A157" s="59"/>
      <c r="B157" s="35"/>
      <c r="C157" s="35"/>
      <c r="D157" s="35"/>
      <c r="E157" s="35"/>
      <c r="F157" s="35"/>
      <c r="G157" s="64"/>
      <c r="H157" s="35"/>
      <c r="I157" s="35"/>
      <c r="J157" s="35"/>
      <c r="K157" s="35"/>
      <c r="L157" s="64"/>
      <c r="M157" s="35"/>
    </row>
    <row r="158" customFormat="false" ht="15" hidden="false" customHeight="false" outlineLevel="0" collapsed="false">
      <c r="A158" s="59"/>
      <c r="B158" s="35"/>
      <c r="C158" s="35"/>
      <c r="D158" s="35"/>
      <c r="E158" s="35"/>
      <c r="F158" s="35"/>
      <c r="G158" s="64"/>
      <c r="H158" s="35"/>
      <c r="I158" s="35"/>
      <c r="J158" s="35"/>
      <c r="K158" s="35"/>
      <c r="L158" s="64"/>
      <c r="M158" s="35"/>
    </row>
    <row r="159" customFormat="false" ht="15" hidden="false" customHeight="false" outlineLevel="0" collapsed="false">
      <c r="A159" s="59"/>
      <c r="B159" s="35"/>
      <c r="C159" s="35"/>
      <c r="D159" s="35"/>
      <c r="E159" s="35"/>
      <c r="F159" s="35"/>
      <c r="G159" s="64"/>
      <c r="H159" s="35"/>
      <c r="I159" s="35"/>
      <c r="J159" s="35"/>
      <c r="K159" s="35"/>
      <c r="L159" s="64"/>
      <c r="M159" s="35"/>
    </row>
    <row r="160" customFormat="false" ht="15" hidden="false" customHeight="false" outlineLevel="0" collapsed="false">
      <c r="A160" s="59"/>
      <c r="B160" s="35"/>
      <c r="C160" s="35"/>
      <c r="D160" s="35"/>
      <c r="E160" s="35"/>
      <c r="F160" s="35"/>
      <c r="G160" s="64"/>
      <c r="H160" s="35"/>
      <c r="I160" s="35"/>
      <c r="J160" s="35"/>
      <c r="K160" s="35"/>
      <c r="L160" s="64"/>
      <c r="M160" s="35"/>
    </row>
    <row r="161" customFormat="false" ht="15" hidden="false" customHeight="false" outlineLevel="0" collapsed="false">
      <c r="A161" s="59"/>
      <c r="B161" s="35"/>
      <c r="C161" s="35"/>
      <c r="D161" s="35"/>
      <c r="E161" s="35"/>
      <c r="F161" s="35"/>
      <c r="G161" s="64"/>
      <c r="H161" s="35"/>
      <c r="I161" s="35"/>
      <c r="J161" s="35"/>
      <c r="K161" s="35"/>
      <c r="L161" s="64"/>
      <c r="M161" s="35"/>
    </row>
    <row r="162" customFormat="false" ht="15" hidden="false" customHeight="false" outlineLevel="0" collapsed="false">
      <c r="A162" s="59"/>
      <c r="B162" s="35"/>
      <c r="C162" s="35"/>
      <c r="D162" s="35"/>
      <c r="E162" s="35"/>
      <c r="F162" s="35"/>
      <c r="G162" s="64"/>
      <c r="H162" s="35"/>
      <c r="I162" s="35"/>
      <c r="J162" s="35"/>
      <c r="K162" s="35"/>
      <c r="L162" s="64"/>
      <c r="M162" s="35"/>
    </row>
    <row r="163" customFormat="false" ht="15" hidden="false" customHeight="false" outlineLevel="0" collapsed="false">
      <c r="A163" s="59"/>
      <c r="B163" s="35"/>
      <c r="C163" s="35"/>
      <c r="D163" s="35"/>
      <c r="E163" s="35"/>
      <c r="F163" s="35"/>
      <c r="G163" s="64"/>
      <c r="H163" s="35"/>
      <c r="I163" s="35"/>
      <c r="J163" s="35"/>
      <c r="K163" s="35"/>
      <c r="L163" s="64"/>
      <c r="M163" s="35"/>
    </row>
    <row r="164" customFormat="false" ht="15" hidden="false" customHeight="false" outlineLevel="0" collapsed="false">
      <c r="A164" s="59"/>
      <c r="B164" s="35"/>
      <c r="C164" s="35"/>
      <c r="D164" s="35"/>
      <c r="E164" s="35"/>
      <c r="F164" s="35"/>
      <c r="G164" s="64"/>
      <c r="H164" s="35"/>
      <c r="I164" s="35"/>
      <c r="J164" s="35"/>
      <c r="K164" s="35"/>
      <c r="L164" s="64"/>
      <c r="M164" s="35"/>
    </row>
    <row r="165" customFormat="false" ht="15" hidden="false" customHeight="false" outlineLevel="0" collapsed="false">
      <c r="A165" s="59"/>
      <c r="B165" s="35"/>
      <c r="C165" s="35"/>
      <c r="D165" s="35"/>
      <c r="E165" s="35"/>
      <c r="F165" s="35"/>
      <c r="G165" s="64"/>
      <c r="H165" s="35"/>
      <c r="I165" s="35"/>
      <c r="J165" s="35"/>
      <c r="K165" s="35"/>
      <c r="L165" s="64"/>
      <c r="M165" s="35"/>
    </row>
    <row r="166" customFormat="false" ht="15" hidden="false" customHeight="false" outlineLevel="0" collapsed="false">
      <c r="A166" s="59"/>
      <c r="B166" s="35"/>
      <c r="C166" s="35"/>
      <c r="D166" s="35"/>
      <c r="E166" s="35"/>
      <c r="F166" s="35"/>
      <c r="G166" s="64"/>
      <c r="H166" s="35"/>
      <c r="I166" s="35"/>
      <c r="J166" s="35"/>
      <c r="K166" s="35"/>
      <c r="L166" s="64"/>
      <c r="M166" s="35"/>
    </row>
    <row r="167" customFormat="false" ht="15" hidden="false" customHeight="false" outlineLevel="0" collapsed="false">
      <c r="A167" s="59"/>
      <c r="B167" s="35"/>
      <c r="C167" s="35"/>
      <c r="D167" s="35"/>
      <c r="E167" s="35"/>
      <c r="F167" s="35"/>
      <c r="G167" s="64"/>
      <c r="H167" s="35"/>
      <c r="I167" s="35"/>
      <c r="J167" s="35"/>
      <c r="K167" s="35"/>
      <c r="L167" s="64"/>
      <c r="M167" s="35"/>
    </row>
    <row r="168" customFormat="false" ht="15" hidden="false" customHeight="false" outlineLevel="0" collapsed="false">
      <c r="A168" s="59"/>
      <c r="B168" s="35"/>
      <c r="C168" s="35"/>
      <c r="D168" s="35"/>
      <c r="E168" s="35"/>
      <c r="F168" s="35"/>
      <c r="G168" s="64"/>
      <c r="H168" s="35"/>
      <c r="I168" s="35"/>
      <c r="J168" s="35"/>
      <c r="K168" s="35"/>
      <c r="L168" s="64"/>
      <c r="M168" s="35"/>
    </row>
    <row r="169" customFormat="false" ht="15" hidden="false" customHeight="false" outlineLevel="0" collapsed="false">
      <c r="A169" s="59"/>
      <c r="B169" s="35"/>
      <c r="C169" s="35"/>
      <c r="D169" s="35"/>
      <c r="E169" s="35"/>
      <c r="F169" s="35"/>
      <c r="G169" s="64"/>
      <c r="H169" s="35"/>
      <c r="I169" s="35"/>
      <c r="J169" s="35"/>
      <c r="K169" s="35"/>
      <c r="L169" s="64"/>
      <c r="M169" s="35"/>
    </row>
    <row r="170" customFormat="false" ht="15" hidden="false" customHeight="false" outlineLevel="0" collapsed="false">
      <c r="A170" s="59"/>
      <c r="B170" s="35"/>
      <c r="C170" s="35"/>
      <c r="D170" s="35"/>
      <c r="E170" s="35"/>
      <c r="F170" s="35"/>
      <c r="G170" s="64"/>
      <c r="H170" s="35"/>
      <c r="I170" s="35"/>
      <c r="J170" s="35"/>
      <c r="K170" s="35"/>
      <c r="L170" s="64"/>
      <c r="M170" s="35"/>
    </row>
    <row r="171" customFormat="false" ht="15" hidden="false" customHeight="false" outlineLevel="0" collapsed="false">
      <c r="A171" s="59"/>
      <c r="B171" s="35"/>
      <c r="C171" s="35"/>
      <c r="D171" s="35"/>
      <c r="E171" s="35"/>
      <c r="F171" s="35"/>
      <c r="G171" s="64"/>
      <c r="H171" s="35"/>
      <c r="I171" s="35"/>
      <c r="J171" s="35"/>
      <c r="K171" s="35"/>
      <c r="L171" s="64"/>
      <c r="M171" s="35"/>
    </row>
    <row r="172" customFormat="false" ht="15" hidden="false" customHeight="false" outlineLevel="0" collapsed="false">
      <c r="A172" s="59"/>
      <c r="B172" s="35"/>
      <c r="C172" s="35"/>
      <c r="D172" s="35"/>
      <c r="E172" s="35"/>
      <c r="F172" s="35"/>
      <c r="G172" s="64"/>
      <c r="H172" s="35"/>
      <c r="I172" s="35"/>
      <c r="J172" s="35"/>
      <c r="K172" s="35"/>
      <c r="L172" s="64"/>
      <c r="M172" s="35"/>
    </row>
    <row r="173" customFormat="false" ht="15" hidden="false" customHeight="false" outlineLevel="0" collapsed="false">
      <c r="A173" s="59"/>
      <c r="B173" s="35"/>
      <c r="C173" s="35"/>
      <c r="D173" s="35"/>
      <c r="E173" s="35"/>
      <c r="F173" s="35"/>
      <c r="G173" s="64"/>
      <c r="H173" s="35"/>
      <c r="I173" s="35"/>
      <c r="J173" s="35"/>
      <c r="K173" s="35"/>
      <c r="L173" s="64"/>
      <c r="M173" s="35"/>
    </row>
    <row r="174" customFormat="false" ht="15" hidden="false" customHeight="false" outlineLevel="0" collapsed="false">
      <c r="A174" s="59"/>
      <c r="B174" s="35"/>
      <c r="C174" s="35"/>
      <c r="D174" s="35"/>
      <c r="E174" s="35"/>
      <c r="F174" s="35"/>
      <c r="G174" s="64"/>
      <c r="H174" s="35"/>
      <c r="I174" s="35"/>
      <c r="J174" s="35"/>
      <c r="K174" s="35"/>
      <c r="L174" s="64"/>
      <c r="M174" s="35"/>
    </row>
    <row r="175" customFormat="false" ht="15" hidden="false" customHeight="false" outlineLevel="0" collapsed="false">
      <c r="A175" s="59"/>
      <c r="B175" s="35"/>
      <c r="C175" s="35"/>
      <c r="D175" s="35"/>
      <c r="E175" s="35"/>
      <c r="F175" s="35"/>
      <c r="G175" s="64"/>
      <c r="H175" s="35"/>
      <c r="I175" s="35"/>
      <c r="J175" s="35"/>
      <c r="K175" s="35"/>
      <c r="L175" s="64"/>
      <c r="M175" s="35"/>
    </row>
    <row r="176" customFormat="false" ht="15" hidden="false" customHeight="false" outlineLevel="0" collapsed="false">
      <c r="A176" s="59"/>
      <c r="B176" s="35"/>
      <c r="C176" s="35"/>
      <c r="D176" s="35"/>
      <c r="E176" s="35"/>
      <c r="F176" s="35"/>
      <c r="G176" s="64"/>
      <c r="H176" s="35"/>
      <c r="I176" s="35"/>
      <c r="J176" s="35"/>
      <c r="K176" s="35"/>
      <c r="L176" s="64"/>
      <c r="M176" s="35"/>
    </row>
    <row r="177" customFormat="false" ht="15" hidden="false" customHeight="false" outlineLevel="0" collapsed="false">
      <c r="A177" s="59"/>
      <c r="B177" s="35"/>
      <c r="C177" s="35"/>
      <c r="D177" s="35"/>
      <c r="E177" s="35"/>
      <c r="F177" s="35"/>
      <c r="G177" s="64"/>
      <c r="H177" s="35"/>
      <c r="I177" s="35"/>
      <c r="J177" s="35"/>
      <c r="K177" s="35"/>
      <c r="L177" s="64"/>
      <c r="M177" s="35"/>
    </row>
    <row r="178" customFormat="false" ht="15" hidden="false" customHeight="false" outlineLevel="0" collapsed="false">
      <c r="A178" s="59"/>
      <c r="B178" s="35"/>
      <c r="C178" s="35"/>
      <c r="D178" s="35"/>
      <c r="E178" s="35"/>
      <c r="F178" s="35"/>
      <c r="G178" s="64"/>
      <c r="H178" s="35"/>
      <c r="I178" s="35"/>
      <c r="J178" s="35"/>
      <c r="K178" s="35"/>
      <c r="L178" s="64"/>
      <c r="M178" s="35"/>
    </row>
    <row r="179" customFormat="false" ht="15" hidden="false" customHeight="false" outlineLevel="0" collapsed="false">
      <c r="A179" s="59"/>
      <c r="B179" s="35"/>
      <c r="C179" s="35"/>
      <c r="D179" s="35"/>
      <c r="E179" s="35"/>
      <c r="F179" s="35"/>
      <c r="G179" s="64"/>
      <c r="H179" s="35"/>
      <c r="I179" s="35"/>
      <c r="J179" s="35"/>
      <c r="K179" s="35"/>
      <c r="L179" s="64"/>
      <c r="M179" s="35"/>
    </row>
    <row r="180" customFormat="false" ht="15" hidden="false" customHeight="false" outlineLevel="0" collapsed="false">
      <c r="A180" s="59"/>
      <c r="B180" s="35"/>
      <c r="C180" s="35"/>
      <c r="D180" s="35"/>
      <c r="E180" s="35"/>
      <c r="F180" s="35"/>
      <c r="G180" s="64"/>
      <c r="H180" s="35"/>
      <c r="I180" s="35"/>
      <c r="J180" s="35"/>
      <c r="K180" s="35"/>
      <c r="L180" s="64"/>
      <c r="M180" s="35"/>
    </row>
    <row r="181" customFormat="false" ht="15" hidden="false" customHeight="false" outlineLevel="0" collapsed="false">
      <c r="A181" s="59"/>
      <c r="B181" s="35"/>
      <c r="C181" s="35"/>
      <c r="D181" s="35"/>
      <c r="E181" s="35"/>
      <c r="F181" s="35"/>
      <c r="G181" s="64"/>
      <c r="H181" s="35"/>
      <c r="I181" s="35"/>
      <c r="J181" s="35"/>
      <c r="K181" s="35"/>
      <c r="L181" s="64"/>
      <c r="M181" s="35"/>
    </row>
    <row r="182" customFormat="false" ht="15" hidden="false" customHeight="false" outlineLevel="0" collapsed="false">
      <c r="A182" s="59"/>
      <c r="B182" s="35"/>
      <c r="C182" s="35"/>
      <c r="D182" s="35"/>
      <c r="E182" s="35"/>
      <c r="F182" s="35"/>
      <c r="G182" s="64"/>
      <c r="H182" s="35"/>
      <c r="I182" s="35"/>
      <c r="J182" s="35"/>
      <c r="K182" s="35"/>
      <c r="L182" s="64"/>
      <c r="M182" s="35"/>
    </row>
    <row r="183" customFormat="false" ht="15" hidden="false" customHeight="false" outlineLevel="0" collapsed="false">
      <c r="A183" s="59"/>
      <c r="B183" s="35"/>
      <c r="C183" s="35"/>
      <c r="D183" s="35"/>
      <c r="E183" s="35"/>
      <c r="F183" s="35"/>
      <c r="G183" s="64"/>
      <c r="H183" s="35"/>
      <c r="I183" s="35"/>
      <c r="J183" s="35"/>
      <c r="K183" s="35"/>
      <c r="L183" s="64"/>
      <c r="M183" s="35"/>
    </row>
    <row r="184" customFormat="false" ht="15" hidden="false" customHeight="false" outlineLevel="0" collapsed="false">
      <c r="A184" s="59"/>
      <c r="B184" s="35"/>
      <c r="C184" s="35"/>
      <c r="D184" s="35"/>
      <c r="E184" s="35"/>
      <c r="F184" s="35"/>
      <c r="G184" s="64"/>
      <c r="H184" s="35"/>
      <c r="I184" s="35"/>
      <c r="J184" s="35"/>
      <c r="K184" s="35"/>
      <c r="L184" s="64"/>
      <c r="M184" s="35"/>
    </row>
    <row r="185" customFormat="false" ht="15" hidden="false" customHeight="false" outlineLevel="0" collapsed="false">
      <c r="A185" s="59"/>
      <c r="B185" s="35"/>
      <c r="C185" s="35"/>
      <c r="D185" s="35"/>
      <c r="E185" s="35"/>
      <c r="F185" s="35"/>
      <c r="G185" s="64"/>
      <c r="H185" s="35"/>
      <c r="I185" s="35"/>
      <c r="J185" s="35"/>
      <c r="K185" s="35"/>
      <c r="L185" s="64"/>
      <c r="M185" s="35"/>
    </row>
    <row r="186" customFormat="false" ht="15" hidden="false" customHeight="false" outlineLevel="0" collapsed="false">
      <c r="A186" s="59"/>
      <c r="B186" s="35"/>
      <c r="C186" s="35"/>
      <c r="D186" s="35"/>
      <c r="E186" s="35"/>
      <c r="F186" s="35"/>
      <c r="G186" s="64"/>
      <c r="H186" s="35"/>
      <c r="I186" s="35"/>
      <c r="J186" s="35"/>
      <c r="K186" s="35"/>
      <c r="L186" s="64"/>
      <c r="M186" s="35"/>
    </row>
    <row r="187" customFormat="false" ht="15" hidden="false" customHeight="false" outlineLevel="0" collapsed="false">
      <c r="A187" s="59"/>
      <c r="B187" s="35"/>
      <c r="C187" s="35"/>
      <c r="D187" s="35"/>
      <c r="E187" s="35"/>
      <c r="F187" s="35"/>
      <c r="G187" s="64"/>
      <c r="H187" s="35"/>
      <c r="I187" s="35"/>
      <c r="J187" s="35"/>
      <c r="K187" s="35"/>
      <c r="L187" s="64"/>
      <c r="M187" s="35"/>
    </row>
    <row r="188" customFormat="false" ht="15" hidden="false" customHeight="false" outlineLevel="0" collapsed="false">
      <c r="A188" s="59"/>
      <c r="B188" s="35"/>
      <c r="C188" s="35"/>
      <c r="D188" s="35"/>
      <c r="E188" s="35"/>
      <c r="F188" s="35"/>
      <c r="G188" s="64"/>
      <c r="H188" s="35"/>
      <c r="I188" s="35"/>
      <c r="J188" s="35"/>
      <c r="K188" s="35"/>
      <c r="L188" s="64"/>
      <c r="M188" s="35"/>
    </row>
    <row r="189" customFormat="false" ht="15" hidden="false" customHeight="false" outlineLevel="0" collapsed="false">
      <c r="A189" s="59"/>
      <c r="B189" s="35"/>
      <c r="C189" s="35"/>
      <c r="D189" s="35"/>
      <c r="E189" s="35"/>
      <c r="F189" s="35"/>
      <c r="G189" s="64"/>
      <c r="H189" s="35"/>
      <c r="I189" s="35"/>
      <c r="J189" s="35"/>
      <c r="K189" s="35"/>
      <c r="L189" s="64"/>
      <c r="M189" s="35"/>
    </row>
    <row r="190" customFormat="false" ht="15" hidden="false" customHeight="false" outlineLevel="0" collapsed="false">
      <c r="A190" s="59"/>
      <c r="B190" s="35"/>
      <c r="C190" s="35"/>
      <c r="D190" s="35"/>
      <c r="E190" s="35"/>
      <c r="F190" s="35"/>
      <c r="G190" s="64"/>
      <c r="H190" s="35"/>
      <c r="I190" s="35"/>
      <c r="J190" s="35"/>
      <c r="K190" s="35"/>
      <c r="L190" s="64"/>
      <c r="M190" s="35"/>
    </row>
    <row r="191" customFormat="false" ht="15" hidden="false" customHeight="false" outlineLevel="0" collapsed="false">
      <c r="A191" s="59"/>
      <c r="B191" s="35"/>
      <c r="C191" s="35"/>
      <c r="D191" s="35"/>
      <c r="E191" s="35"/>
      <c r="F191" s="35"/>
      <c r="G191" s="64"/>
      <c r="H191" s="35"/>
      <c r="I191" s="35"/>
      <c r="J191" s="35"/>
      <c r="K191" s="35"/>
      <c r="L191" s="64"/>
      <c r="M191" s="35"/>
    </row>
    <row r="192" customFormat="false" ht="15" hidden="false" customHeight="false" outlineLevel="0" collapsed="false">
      <c r="A192" s="59"/>
      <c r="B192" s="35"/>
      <c r="C192" s="35"/>
      <c r="D192" s="35"/>
      <c r="E192" s="35"/>
      <c r="F192" s="35"/>
      <c r="G192" s="64"/>
      <c r="H192" s="35"/>
      <c r="I192" s="35"/>
      <c r="J192" s="35"/>
      <c r="K192" s="35"/>
      <c r="L192" s="64"/>
      <c r="M192" s="35"/>
    </row>
    <row r="193" customFormat="false" ht="15" hidden="false" customHeight="false" outlineLevel="0" collapsed="false">
      <c r="A193" s="59"/>
      <c r="B193" s="35"/>
      <c r="C193" s="35"/>
      <c r="D193" s="35"/>
      <c r="E193" s="35"/>
      <c r="F193" s="35"/>
      <c r="G193" s="64"/>
      <c r="H193" s="35"/>
      <c r="I193" s="35"/>
      <c r="J193" s="35"/>
      <c r="K193" s="35"/>
      <c r="L193" s="64"/>
      <c r="M193" s="35"/>
    </row>
    <row r="194" customFormat="false" ht="15" hidden="false" customHeight="false" outlineLevel="0" collapsed="false">
      <c r="A194" s="59"/>
      <c r="B194" s="35"/>
      <c r="C194" s="35"/>
      <c r="D194" s="35"/>
      <c r="E194" s="35"/>
      <c r="F194" s="35"/>
      <c r="G194" s="64"/>
      <c r="H194" s="35"/>
      <c r="I194" s="35"/>
      <c r="J194" s="35"/>
      <c r="K194" s="35"/>
      <c r="L194" s="64"/>
      <c r="M194" s="35"/>
    </row>
    <row r="195" customFormat="false" ht="15" hidden="false" customHeight="false" outlineLevel="0" collapsed="false">
      <c r="A195" s="59"/>
      <c r="B195" s="35"/>
      <c r="C195" s="35"/>
      <c r="D195" s="35"/>
      <c r="E195" s="35"/>
      <c r="F195" s="35"/>
      <c r="G195" s="64"/>
      <c r="H195" s="35"/>
      <c r="I195" s="35"/>
      <c r="J195" s="35"/>
      <c r="K195" s="35"/>
      <c r="L195" s="64"/>
      <c r="M195" s="35"/>
    </row>
    <row r="196" customFormat="false" ht="15" hidden="false" customHeight="false" outlineLevel="0" collapsed="false">
      <c r="A196" s="59"/>
      <c r="B196" s="35"/>
      <c r="C196" s="35"/>
      <c r="D196" s="35"/>
      <c r="E196" s="35"/>
      <c r="F196" s="35"/>
      <c r="G196" s="64"/>
      <c r="H196" s="35"/>
      <c r="I196" s="35"/>
      <c r="J196" s="35"/>
      <c r="K196" s="35"/>
      <c r="L196" s="64"/>
      <c r="M196" s="35"/>
    </row>
    <row r="197" customFormat="false" ht="15" hidden="false" customHeight="false" outlineLevel="0" collapsed="false">
      <c r="A197" s="59"/>
      <c r="B197" s="35"/>
      <c r="C197" s="35"/>
      <c r="D197" s="35"/>
      <c r="E197" s="35"/>
      <c r="F197" s="35"/>
      <c r="G197" s="64"/>
      <c r="H197" s="35"/>
      <c r="I197" s="35"/>
      <c r="J197" s="35"/>
      <c r="K197" s="35"/>
      <c r="L197" s="64"/>
      <c r="M197" s="35"/>
    </row>
    <row r="198" customFormat="false" ht="15" hidden="false" customHeight="false" outlineLevel="0" collapsed="false">
      <c r="A198" s="59"/>
      <c r="B198" s="35"/>
      <c r="C198" s="35"/>
      <c r="D198" s="35"/>
      <c r="E198" s="35"/>
      <c r="F198" s="35"/>
      <c r="G198" s="64"/>
      <c r="H198" s="35"/>
      <c r="I198" s="35"/>
      <c r="J198" s="35"/>
      <c r="K198" s="35"/>
      <c r="L198" s="64"/>
      <c r="M198" s="35"/>
    </row>
    <row r="199" customFormat="false" ht="15" hidden="false" customHeight="false" outlineLevel="0" collapsed="false">
      <c r="A199" s="59"/>
      <c r="B199" s="35"/>
      <c r="C199" s="35"/>
      <c r="D199" s="35"/>
      <c r="E199" s="35"/>
      <c r="F199" s="35"/>
      <c r="G199" s="64"/>
      <c r="H199" s="35"/>
      <c r="I199" s="35"/>
      <c r="J199" s="35"/>
      <c r="K199" s="35"/>
      <c r="L199" s="64"/>
      <c r="M199" s="35"/>
    </row>
    <row r="200" customFormat="false" ht="15" hidden="false" customHeight="false" outlineLevel="0" collapsed="false">
      <c r="A200" s="59"/>
      <c r="B200" s="35"/>
      <c r="C200" s="35"/>
      <c r="D200" s="35"/>
      <c r="E200" s="35"/>
      <c r="F200" s="35"/>
      <c r="G200" s="64"/>
      <c r="H200" s="35"/>
      <c r="I200" s="35"/>
      <c r="J200" s="35"/>
      <c r="K200" s="35"/>
      <c r="L200" s="64"/>
      <c r="M200" s="35"/>
    </row>
    <row r="201" customFormat="false" ht="15" hidden="false" customHeight="false" outlineLevel="0" collapsed="false">
      <c r="A201" s="59"/>
      <c r="B201" s="35"/>
      <c r="C201" s="35"/>
      <c r="D201" s="35"/>
      <c r="E201" s="35"/>
      <c r="F201" s="35"/>
      <c r="G201" s="64"/>
      <c r="H201" s="35"/>
      <c r="I201" s="35"/>
      <c r="J201" s="35"/>
      <c r="K201" s="35"/>
      <c r="L201" s="64"/>
      <c r="M201" s="35"/>
    </row>
    <row r="202" customFormat="false" ht="15" hidden="false" customHeight="false" outlineLevel="0" collapsed="false">
      <c r="A202" s="59"/>
      <c r="B202" s="35"/>
      <c r="C202" s="35"/>
      <c r="D202" s="35"/>
      <c r="E202" s="35"/>
      <c r="F202" s="35"/>
      <c r="G202" s="64"/>
      <c r="H202" s="35"/>
      <c r="I202" s="35"/>
      <c r="J202" s="35"/>
      <c r="K202" s="35"/>
      <c r="L202" s="64"/>
      <c r="M202" s="35"/>
    </row>
    <row r="203" customFormat="false" ht="15" hidden="false" customHeight="false" outlineLevel="0" collapsed="false">
      <c r="A203" s="59"/>
      <c r="B203" s="35"/>
      <c r="C203" s="35"/>
      <c r="D203" s="35"/>
      <c r="E203" s="35"/>
      <c r="F203" s="35"/>
      <c r="G203" s="64"/>
      <c r="H203" s="35"/>
      <c r="I203" s="35"/>
      <c r="J203" s="35"/>
      <c r="K203" s="35"/>
      <c r="L203" s="64"/>
      <c r="M203" s="35"/>
    </row>
    <row r="204" customFormat="false" ht="15" hidden="false" customHeight="false" outlineLevel="0" collapsed="false">
      <c r="A204" s="59"/>
      <c r="B204" s="35"/>
      <c r="C204" s="35"/>
      <c r="D204" s="35"/>
      <c r="E204" s="35"/>
      <c r="F204" s="35"/>
      <c r="G204" s="64"/>
      <c r="H204" s="35"/>
      <c r="I204" s="35"/>
      <c r="J204" s="35"/>
      <c r="K204" s="35"/>
      <c r="L204" s="64"/>
      <c r="M204" s="35"/>
    </row>
    <row r="205" customFormat="false" ht="15" hidden="false" customHeight="false" outlineLevel="0" collapsed="false">
      <c r="A205" s="59"/>
      <c r="B205" s="35"/>
      <c r="C205" s="35"/>
      <c r="D205" s="35"/>
      <c r="E205" s="35"/>
      <c r="F205" s="35"/>
      <c r="G205" s="64"/>
      <c r="H205" s="35"/>
      <c r="I205" s="35"/>
      <c r="J205" s="35"/>
      <c r="K205" s="35"/>
      <c r="L205" s="64"/>
      <c r="M205" s="35"/>
    </row>
    <row r="206" customFormat="false" ht="15" hidden="false" customHeight="false" outlineLevel="0" collapsed="false">
      <c r="A206" s="59"/>
      <c r="B206" s="35"/>
      <c r="C206" s="35"/>
      <c r="D206" s="35"/>
      <c r="E206" s="35"/>
      <c r="F206" s="35"/>
      <c r="G206" s="64"/>
      <c r="H206" s="35"/>
      <c r="I206" s="35"/>
      <c r="J206" s="35"/>
      <c r="K206" s="35"/>
      <c r="L206" s="64"/>
      <c r="M206" s="35"/>
    </row>
    <row r="207" customFormat="false" ht="15" hidden="false" customHeight="false" outlineLevel="0" collapsed="false">
      <c r="A207" s="59"/>
      <c r="B207" s="35"/>
      <c r="C207" s="35"/>
      <c r="D207" s="35"/>
      <c r="E207" s="35"/>
      <c r="F207" s="35"/>
      <c r="G207" s="64"/>
      <c r="H207" s="35"/>
      <c r="I207" s="35"/>
      <c r="J207" s="35"/>
      <c r="K207" s="35"/>
      <c r="L207" s="64"/>
      <c r="M207" s="35"/>
    </row>
    <row r="208" customFormat="false" ht="15" hidden="false" customHeight="false" outlineLevel="0" collapsed="false">
      <c r="A208" s="59"/>
      <c r="B208" s="35"/>
      <c r="C208" s="35"/>
      <c r="D208" s="35"/>
      <c r="E208" s="35"/>
      <c r="F208" s="35"/>
      <c r="G208" s="64"/>
      <c r="H208" s="35"/>
      <c r="I208" s="35"/>
      <c r="J208" s="35"/>
      <c r="K208" s="35"/>
      <c r="L208" s="64"/>
      <c r="M208" s="35"/>
    </row>
    <row r="209" customFormat="false" ht="15" hidden="false" customHeight="false" outlineLevel="0" collapsed="false">
      <c r="A209" s="59"/>
      <c r="B209" s="35"/>
      <c r="C209" s="35"/>
      <c r="D209" s="35"/>
      <c r="E209" s="35"/>
      <c r="F209" s="35"/>
      <c r="G209" s="64"/>
      <c r="H209" s="35"/>
      <c r="I209" s="35"/>
      <c r="J209" s="35"/>
      <c r="K209" s="35"/>
      <c r="L209" s="64"/>
      <c r="M209" s="35"/>
    </row>
    <row r="210" customFormat="false" ht="15" hidden="false" customHeight="false" outlineLevel="0" collapsed="false">
      <c r="A210" s="59"/>
      <c r="B210" s="35"/>
      <c r="C210" s="35"/>
      <c r="D210" s="35"/>
      <c r="E210" s="35"/>
      <c r="F210" s="35"/>
      <c r="G210" s="64"/>
      <c r="H210" s="35"/>
      <c r="I210" s="35"/>
      <c r="J210" s="35"/>
      <c r="K210" s="35"/>
      <c r="L210" s="64"/>
      <c r="M210" s="35"/>
    </row>
    <row r="211" customFormat="false" ht="15" hidden="false" customHeight="false" outlineLevel="0" collapsed="false">
      <c r="A211" s="59"/>
      <c r="B211" s="35"/>
      <c r="C211" s="35"/>
      <c r="D211" s="35"/>
      <c r="E211" s="35"/>
      <c r="F211" s="35"/>
      <c r="G211" s="64"/>
      <c r="H211" s="35"/>
      <c r="I211" s="35"/>
      <c r="J211" s="35"/>
      <c r="K211" s="35"/>
      <c r="L211" s="64"/>
      <c r="M211" s="35"/>
    </row>
    <row r="212" customFormat="false" ht="15" hidden="false" customHeight="false" outlineLevel="0" collapsed="false">
      <c r="A212" s="59"/>
      <c r="B212" s="35"/>
      <c r="C212" s="35"/>
      <c r="D212" s="35"/>
      <c r="E212" s="35"/>
      <c r="F212" s="35"/>
      <c r="G212" s="64"/>
      <c r="H212" s="35"/>
      <c r="I212" s="35"/>
      <c r="J212" s="35"/>
      <c r="K212" s="35"/>
      <c r="L212" s="64"/>
      <c r="M212" s="35"/>
    </row>
    <row r="213" customFormat="false" ht="15" hidden="false" customHeight="false" outlineLevel="0" collapsed="false">
      <c r="A213" s="59"/>
      <c r="B213" s="35"/>
      <c r="C213" s="35"/>
      <c r="D213" s="35"/>
      <c r="E213" s="35"/>
      <c r="F213" s="35"/>
      <c r="G213" s="64"/>
      <c r="H213" s="35"/>
      <c r="I213" s="35"/>
      <c r="J213" s="35"/>
      <c r="K213" s="35"/>
      <c r="L213" s="64"/>
      <c r="M213" s="35"/>
    </row>
    <row r="214" customFormat="false" ht="15" hidden="false" customHeight="false" outlineLevel="0" collapsed="false">
      <c r="A214" s="59"/>
      <c r="B214" s="35"/>
      <c r="C214" s="35"/>
      <c r="D214" s="35"/>
      <c r="E214" s="35"/>
      <c r="F214" s="35"/>
      <c r="G214" s="64"/>
      <c r="H214" s="35"/>
      <c r="I214" s="35"/>
      <c r="J214" s="35"/>
      <c r="K214" s="35"/>
      <c r="L214" s="64"/>
      <c r="M214" s="35"/>
    </row>
    <row r="215" customFormat="false" ht="15" hidden="false" customHeight="false" outlineLevel="0" collapsed="false">
      <c r="A215" s="59"/>
      <c r="B215" s="35"/>
      <c r="C215" s="35"/>
      <c r="D215" s="35"/>
      <c r="E215" s="35"/>
      <c r="F215" s="35"/>
      <c r="G215" s="64"/>
      <c r="H215" s="35"/>
      <c r="I215" s="35"/>
      <c r="J215" s="35"/>
      <c r="K215" s="35"/>
      <c r="L215" s="64"/>
      <c r="M215" s="35"/>
    </row>
    <row r="216" customFormat="false" ht="15" hidden="false" customHeight="false" outlineLevel="0" collapsed="false">
      <c r="A216" s="59"/>
      <c r="B216" s="35"/>
      <c r="C216" s="35"/>
      <c r="D216" s="35"/>
      <c r="E216" s="35"/>
      <c r="F216" s="35"/>
      <c r="G216" s="64"/>
      <c r="H216" s="35"/>
      <c r="I216" s="35"/>
      <c r="J216" s="35"/>
      <c r="K216" s="35"/>
      <c r="L216" s="64"/>
      <c r="M216" s="35"/>
    </row>
    <row r="217" customFormat="false" ht="15" hidden="false" customHeight="false" outlineLevel="0" collapsed="false">
      <c r="A217" s="59"/>
      <c r="B217" s="35"/>
      <c r="C217" s="35"/>
      <c r="D217" s="35"/>
      <c r="E217" s="35"/>
      <c r="F217" s="35"/>
      <c r="G217" s="64"/>
      <c r="H217" s="35"/>
      <c r="I217" s="35"/>
      <c r="J217" s="35"/>
      <c r="K217" s="35"/>
      <c r="L217" s="64"/>
      <c r="M217" s="35"/>
    </row>
    <row r="218" customFormat="false" ht="15" hidden="false" customHeight="false" outlineLevel="0" collapsed="false">
      <c r="A218" s="59"/>
      <c r="B218" s="35"/>
      <c r="C218" s="35"/>
      <c r="D218" s="35"/>
      <c r="E218" s="35"/>
      <c r="F218" s="35"/>
      <c r="G218" s="64"/>
      <c r="H218" s="35"/>
      <c r="I218" s="35"/>
      <c r="J218" s="35"/>
      <c r="K218" s="35"/>
      <c r="L218" s="64"/>
      <c r="M218" s="35"/>
    </row>
    <row r="219" customFormat="false" ht="15" hidden="false" customHeight="false" outlineLevel="0" collapsed="false">
      <c r="A219" s="59"/>
      <c r="B219" s="35"/>
      <c r="C219" s="35"/>
      <c r="D219" s="35"/>
      <c r="E219" s="35"/>
      <c r="F219" s="35"/>
      <c r="G219" s="64"/>
      <c r="H219" s="35"/>
      <c r="I219" s="35"/>
      <c r="J219" s="35"/>
      <c r="K219" s="35"/>
      <c r="L219" s="64"/>
      <c r="M219" s="35"/>
    </row>
    <row r="220" customFormat="false" ht="15" hidden="false" customHeight="false" outlineLevel="0" collapsed="false">
      <c r="A220" s="59"/>
      <c r="B220" s="35"/>
      <c r="C220" s="35"/>
      <c r="D220" s="35"/>
      <c r="E220" s="35"/>
      <c r="F220" s="35"/>
      <c r="G220" s="64"/>
      <c r="H220" s="35"/>
      <c r="I220" s="35"/>
      <c r="J220" s="35"/>
      <c r="K220" s="35"/>
      <c r="L220" s="64"/>
      <c r="M220" s="35"/>
    </row>
    <row r="221" customFormat="false" ht="15" hidden="false" customHeight="false" outlineLevel="0" collapsed="false">
      <c r="A221" s="59"/>
      <c r="B221" s="35"/>
      <c r="C221" s="35"/>
      <c r="D221" s="35"/>
      <c r="E221" s="35"/>
      <c r="F221" s="35"/>
      <c r="G221" s="64"/>
      <c r="H221" s="35"/>
      <c r="I221" s="35"/>
      <c r="J221" s="35"/>
      <c r="K221" s="35"/>
      <c r="L221" s="64"/>
      <c r="M221" s="35"/>
    </row>
    <row r="222" customFormat="false" ht="15" hidden="false" customHeight="false" outlineLevel="0" collapsed="false">
      <c r="A222" s="59"/>
      <c r="B222" s="35"/>
      <c r="C222" s="35"/>
      <c r="D222" s="35"/>
      <c r="E222" s="35"/>
      <c r="F222" s="35"/>
      <c r="G222" s="64"/>
      <c r="H222" s="35"/>
      <c r="I222" s="35"/>
      <c r="J222" s="35"/>
      <c r="K222" s="35"/>
      <c r="L222" s="64"/>
      <c r="M222" s="35"/>
    </row>
    <row r="223" customFormat="false" ht="15" hidden="false" customHeight="false" outlineLevel="0" collapsed="false">
      <c r="A223" s="59"/>
      <c r="B223" s="35"/>
      <c r="C223" s="35"/>
      <c r="D223" s="35"/>
      <c r="E223" s="35"/>
      <c r="F223" s="35"/>
      <c r="G223" s="64"/>
      <c r="H223" s="35"/>
      <c r="I223" s="35"/>
      <c r="J223" s="35"/>
      <c r="K223" s="35"/>
      <c r="L223" s="64"/>
      <c r="M223" s="35"/>
    </row>
    <row r="224" customFormat="false" ht="15" hidden="false" customHeight="false" outlineLevel="0" collapsed="false">
      <c r="A224" s="59"/>
      <c r="B224" s="35"/>
      <c r="C224" s="35"/>
      <c r="D224" s="35"/>
      <c r="E224" s="35"/>
      <c r="F224" s="35"/>
      <c r="G224" s="64"/>
      <c r="H224" s="35"/>
      <c r="I224" s="35"/>
      <c r="J224" s="35"/>
      <c r="K224" s="35"/>
      <c r="L224" s="64"/>
      <c r="M224" s="35"/>
    </row>
    <row r="225" customFormat="false" ht="15" hidden="false" customHeight="false" outlineLevel="0" collapsed="false">
      <c r="A225" s="59"/>
      <c r="B225" s="35"/>
      <c r="C225" s="35"/>
      <c r="D225" s="35"/>
      <c r="E225" s="35"/>
      <c r="F225" s="35"/>
      <c r="G225" s="64"/>
      <c r="H225" s="35"/>
      <c r="I225" s="35"/>
      <c r="J225" s="35"/>
      <c r="K225" s="35"/>
      <c r="L225" s="64"/>
      <c r="M225" s="35"/>
    </row>
    <row r="226" customFormat="false" ht="15" hidden="false" customHeight="false" outlineLevel="0" collapsed="false">
      <c r="A226" s="59"/>
      <c r="B226" s="35"/>
      <c r="C226" s="35"/>
      <c r="D226" s="35"/>
      <c r="E226" s="35"/>
      <c r="F226" s="35"/>
      <c r="G226" s="64"/>
      <c r="H226" s="35"/>
      <c r="I226" s="35"/>
      <c r="J226" s="35"/>
      <c r="K226" s="35"/>
      <c r="L226" s="64"/>
      <c r="M226" s="35"/>
    </row>
    <row r="227" customFormat="false" ht="15" hidden="false" customHeight="false" outlineLevel="0" collapsed="false">
      <c r="A227" s="59"/>
      <c r="B227" s="35"/>
      <c r="C227" s="35"/>
      <c r="D227" s="35"/>
      <c r="E227" s="35"/>
      <c r="F227" s="35"/>
      <c r="G227" s="64"/>
      <c r="H227" s="35"/>
      <c r="I227" s="35"/>
      <c r="J227" s="35"/>
      <c r="K227" s="35"/>
      <c r="L227" s="64"/>
      <c r="M227" s="35"/>
    </row>
    <row r="228" customFormat="false" ht="15" hidden="false" customHeight="false" outlineLevel="0" collapsed="false">
      <c r="A228" s="59"/>
      <c r="B228" s="35"/>
      <c r="C228" s="35"/>
      <c r="D228" s="35"/>
      <c r="E228" s="35"/>
      <c r="F228" s="35"/>
      <c r="G228" s="64"/>
      <c r="H228" s="35"/>
      <c r="I228" s="35"/>
      <c r="J228" s="35"/>
      <c r="K228" s="35"/>
      <c r="L228" s="64"/>
      <c r="M228" s="35"/>
    </row>
    <row r="229" customFormat="false" ht="15" hidden="false" customHeight="false" outlineLevel="0" collapsed="false">
      <c r="A229" s="59"/>
      <c r="B229" s="35"/>
      <c r="C229" s="35"/>
      <c r="D229" s="35"/>
      <c r="E229" s="35"/>
      <c r="F229" s="35"/>
      <c r="G229" s="64"/>
      <c r="H229" s="35"/>
      <c r="I229" s="35"/>
      <c r="J229" s="35"/>
      <c r="K229" s="35"/>
      <c r="L229" s="64"/>
      <c r="M229" s="35"/>
    </row>
    <row r="230" customFormat="false" ht="15" hidden="false" customHeight="false" outlineLevel="0" collapsed="false">
      <c r="A230" s="59"/>
      <c r="B230" s="35"/>
      <c r="C230" s="35"/>
      <c r="D230" s="35"/>
      <c r="E230" s="35"/>
      <c r="F230" s="35"/>
      <c r="G230" s="64"/>
      <c r="H230" s="35"/>
      <c r="I230" s="35"/>
      <c r="J230" s="35"/>
      <c r="K230" s="35"/>
      <c r="L230" s="64"/>
      <c r="M230" s="35"/>
    </row>
    <row r="231" customFormat="false" ht="15" hidden="false" customHeight="false" outlineLevel="0" collapsed="false">
      <c r="A231" s="59"/>
      <c r="B231" s="35"/>
      <c r="C231" s="35"/>
      <c r="D231" s="35"/>
      <c r="E231" s="35"/>
      <c r="F231" s="35"/>
      <c r="G231" s="64"/>
      <c r="H231" s="35"/>
      <c r="I231" s="35"/>
      <c r="J231" s="35"/>
      <c r="K231" s="35"/>
      <c r="L231" s="64"/>
      <c r="M231" s="35"/>
    </row>
    <row r="232" customFormat="false" ht="15" hidden="false" customHeight="false" outlineLevel="0" collapsed="false">
      <c r="A232" s="59"/>
      <c r="B232" s="35"/>
      <c r="C232" s="35"/>
      <c r="D232" s="35"/>
      <c r="E232" s="35"/>
      <c r="F232" s="35"/>
      <c r="G232" s="64"/>
      <c r="H232" s="35"/>
      <c r="I232" s="35"/>
      <c r="J232" s="35"/>
      <c r="K232" s="35"/>
      <c r="L232" s="64"/>
      <c r="M232" s="35"/>
    </row>
    <row r="233" customFormat="false" ht="15" hidden="false" customHeight="false" outlineLevel="0" collapsed="false">
      <c r="A233" s="59"/>
      <c r="B233" s="35"/>
      <c r="C233" s="35"/>
      <c r="D233" s="35"/>
      <c r="E233" s="35"/>
      <c r="F233" s="35"/>
      <c r="G233" s="64"/>
      <c r="H233" s="35"/>
      <c r="I233" s="35"/>
      <c r="J233" s="35"/>
      <c r="K233" s="35"/>
      <c r="L233" s="64"/>
      <c r="M233" s="35"/>
    </row>
    <row r="234" customFormat="false" ht="15" hidden="false" customHeight="false" outlineLevel="0" collapsed="false">
      <c r="A234" s="59"/>
      <c r="B234" s="35"/>
      <c r="C234" s="35"/>
      <c r="D234" s="35"/>
      <c r="E234" s="35"/>
      <c r="F234" s="35"/>
      <c r="G234" s="64"/>
      <c r="H234" s="35"/>
      <c r="I234" s="35"/>
      <c r="J234" s="35"/>
      <c r="K234" s="35"/>
      <c r="L234" s="64"/>
      <c r="M234" s="35"/>
    </row>
    <row r="235" customFormat="false" ht="15" hidden="false" customHeight="false" outlineLevel="0" collapsed="false">
      <c r="A235" s="59"/>
      <c r="B235" s="35"/>
      <c r="C235" s="35"/>
      <c r="D235" s="35"/>
      <c r="E235" s="35"/>
      <c r="F235" s="35"/>
      <c r="G235" s="64"/>
      <c r="H235" s="35"/>
      <c r="I235" s="35"/>
      <c r="J235" s="35"/>
      <c r="K235" s="35"/>
      <c r="L235" s="64"/>
      <c r="M235" s="35"/>
    </row>
    <row r="236" customFormat="false" ht="15" hidden="false" customHeight="false" outlineLevel="0" collapsed="false">
      <c r="A236" s="59"/>
      <c r="B236" s="35"/>
      <c r="C236" s="35"/>
      <c r="D236" s="35"/>
      <c r="E236" s="35"/>
      <c r="F236" s="35"/>
      <c r="G236" s="64"/>
      <c r="H236" s="35"/>
      <c r="I236" s="35"/>
      <c r="J236" s="35"/>
      <c r="K236" s="35"/>
      <c r="L236" s="64"/>
      <c r="M236" s="35"/>
    </row>
    <row r="237" customFormat="false" ht="15" hidden="false" customHeight="false" outlineLevel="0" collapsed="false">
      <c r="A237" s="59"/>
      <c r="B237" s="35"/>
      <c r="C237" s="35"/>
      <c r="D237" s="35"/>
      <c r="E237" s="35"/>
      <c r="F237" s="35"/>
      <c r="G237" s="64"/>
      <c r="H237" s="35"/>
      <c r="I237" s="35"/>
      <c r="J237" s="35"/>
      <c r="K237" s="35"/>
      <c r="L237" s="64"/>
      <c r="M237" s="35"/>
    </row>
    <row r="238" customFormat="false" ht="15" hidden="false" customHeight="false" outlineLevel="0" collapsed="false">
      <c r="A238" s="59"/>
      <c r="B238" s="35"/>
      <c r="C238" s="35"/>
      <c r="D238" s="35"/>
      <c r="E238" s="35"/>
      <c r="F238" s="35"/>
      <c r="G238" s="64"/>
      <c r="H238" s="35"/>
      <c r="I238" s="35"/>
      <c r="J238" s="35"/>
      <c r="K238" s="35"/>
      <c r="L238" s="64"/>
      <c r="M238" s="35"/>
    </row>
    <row r="239" customFormat="false" ht="15" hidden="false" customHeight="false" outlineLevel="0" collapsed="false">
      <c r="A239" s="59"/>
      <c r="B239" s="35"/>
      <c r="C239" s="35"/>
      <c r="D239" s="35"/>
      <c r="E239" s="35"/>
      <c r="F239" s="35"/>
      <c r="G239" s="64"/>
      <c r="H239" s="35"/>
      <c r="I239" s="35"/>
      <c r="J239" s="35"/>
      <c r="K239" s="35"/>
      <c r="L239" s="64"/>
      <c r="M239" s="35"/>
    </row>
    <row r="240" customFormat="false" ht="15" hidden="false" customHeight="false" outlineLevel="0" collapsed="false">
      <c r="A240" s="59"/>
      <c r="B240" s="35"/>
      <c r="C240" s="35"/>
      <c r="D240" s="35"/>
      <c r="E240" s="35"/>
      <c r="F240" s="35"/>
      <c r="G240" s="64"/>
      <c r="H240" s="35"/>
      <c r="I240" s="35"/>
      <c r="J240" s="35"/>
      <c r="K240" s="35"/>
      <c r="L240" s="64"/>
      <c r="M240" s="35"/>
    </row>
    <row r="241" customFormat="false" ht="15" hidden="false" customHeight="false" outlineLevel="0" collapsed="false">
      <c r="A241" s="59"/>
      <c r="B241" s="35"/>
      <c r="C241" s="35"/>
      <c r="D241" s="35"/>
      <c r="E241" s="35"/>
      <c r="F241" s="35"/>
      <c r="G241" s="64"/>
      <c r="H241" s="35"/>
      <c r="I241" s="35"/>
      <c r="J241" s="35"/>
      <c r="K241" s="35"/>
      <c r="L241" s="64"/>
      <c r="M241" s="35"/>
    </row>
    <row r="242" customFormat="false" ht="15" hidden="false" customHeight="false" outlineLevel="0" collapsed="false">
      <c r="A242" s="59"/>
      <c r="B242" s="35"/>
      <c r="C242" s="35"/>
      <c r="D242" s="35"/>
      <c r="E242" s="35"/>
      <c r="F242" s="35"/>
      <c r="G242" s="64"/>
      <c r="H242" s="35"/>
      <c r="I242" s="35"/>
      <c r="J242" s="35"/>
      <c r="K242" s="35"/>
      <c r="L242" s="64"/>
      <c r="M242" s="35"/>
    </row>
    <row r="243" customFormat="false" ht="15" hidden="false" customHeight="false" outlineLevel="0" collapsed="false">
      <c r="A243" s="59"/>
      <c r="B243" s="35"/>
      <c r="C243" s="35"/>
      <c r="D243" s="35"/>
      <c r="E243" s="35"/>
      <c r="F243" s="35"/>
      <c r="G243" s="64"/>
      <c r="H243" s="35"/>
      <c r="I243" s="35"/>
      <c r="J243" s="35"/>
      <c r="K243" s="35"/>
      <c r="L243" s="64"/>
      <c r="M243" s="35"/>
    </row>
    <row r="244" customFormat="false" ht="15" hidden="false" customHeight="false" outlineLevel="0" collapsed="false">
      <c r="A244" s="59"/>
      <c r="B244" s="35"/>
      <c r="C244" s="35"/>
      <c r="D244" s="35"/>
      <c r="E244" s="35"/>
      <c r="F244" s="35"/>
      <c r="G244" s="64"/>
      <c r="H244" s="35"/>
      <c r="I244" s="35"/>
      <c r="J244" s="35"/>
      <c r="K244" s="35"/>
      <c r="L244" s="64"/>
      <c r="M244" s="35"/>
    </row>
    <row r="245" customFormat="false" ht="15" hidden="false" customHeight="false" outlineLevel="0" collapsed="false">
      <c r="A245" s="59"/>
      <c r="B245" s="35"/>
      <c r="C245" s="35"/>
      <c r="D245" s="35"/>
      <c r="E245" s="35"/>
      <c r="F245" s="35"/>
      <c r="G245" s="64"/>
      <c r="H245" s="35"/>
      <c r="I245" s="35"/>
      <c r="J245" s="35"/>
      <c r="K245" s="35"/>
      <c r="L245" s="64"/>
      <c r="M245" s="35"/>
    </row>
    <row r="246" customFormat="false" ht="15" hidden="false" customHeight="false" outlineLevel="0" collapsed="false">
      <c r="A246" s="59"/>
      <c r="B246" s="35"/>
      <c r="C246" s="35"/>
      <c r="D246" s="35"/>
      <c r="E246" s="35"/>
      <c r="F246" s="35"/>
      <c r="G246" s="64"/>
      <c r="H246" s="35"/>
      <c r="I246" s="35"/>
      <c r="J246" s="35"/>
      <c r="K246" s="35"/>
      <c r="L246" s="64"/>
      <c r="M246" s="35"/>
    </row>
    <row r="247" customFormat="false" ht="15" hidden="false" customHeight="false" outlineLevel="0" collapsed="false">
      <c r="A247" s="59"/>
      <c r="B247" s="35"/>
      <c r="C247" s="35"/>
      <c r="D247" s="35"/>
      <c r="E247" s="35"/>
      <c r="F247" s="35"/>
      <c r="G247" s="64"/>
      <c r="H247" s="35"/>
      <c r="I247" s="35"/>
      <c r="J247" s="35"/>
      <c r="K247" s="35"/>
      <c r="L247" s="64"/>
      <c r="M247" s="35"/>
    </row>
    <row r="248" customFormat="false" ht="15" hidden="false" customHeight="false" outlineLevel="0" collapsed="false">
      <c r="A248" s="59"/>
      <c r="B248" s="35"/>
      <c r="C248" s="35"/>
      <c r="D248" s="35"/>
      <c r="E248" s="35"/>
      <c r="F248" s="35"/>
      <c r="G248" s="64"/>
      <c r="H248" s="35"/>
      <c r="I248" s="35"/>
      <c r="J248" s="35"/>
      <c r="K248" s="35"/>
      <c r="L248" s="64"/>
      <c r="M248" s="35"/>
    </row>
    <row r="249" customFormat="false" ht="15" hidden="false" customHeight="false" outlineLevel="0" collapsed="false">
      <c r="A249" s="59"/>
      <c r="B249" s="35"/>
      <c r="C249" s="35"/>
      <c r="D249" s="35"/>
      <c r="E249" s="35"/>
      <c r="F249" s="35"/>
      <c r="G249" s="64"/>
      <c r="H249" s="35"/>
      <c r="I249" s="35"/>
      <c r="J249" s="35"/>
      <c r="K249" s="35"/>
      <c r="L249" s="64"/>
      <c r="M249" s="35"/>
    </row>
    <row r="250" customFormat="false" ht="15" hidden="false" customHeight="false" outlineLevel="0" collapsed="false">
      <c r="A250" s="59"/>
      <c r="B250" s="35"/>
      <c r="C250" s="35"/>
      <c r="D250" s="35"/>
      <c r="E250" s="35"/>
      <c r="F250" s="35"/>
      <c r="G250" s="64"/>
      <c r="H250" s="35"/>
      <c r="I250" s="35"/>
      <c r="J250" s="35"/>
      <c r="K250" s="35"/>
      <c r="L250" s="64"/>
      <c r="M250" s="35"/>
    </row>
    <row r="251" customFormat="false" ht="15" hidden="false" customHeight="false" outlineLevel="0" collapsed="false">
      <c r="A251" s="59"/>
      <c r="B251" s="35"/>
      <c r="C251" s="35"/>
      <c r="D251" s="35"/>
      <c r="E251" s="35"/>
      <c r="F251" s="35"/>
      <c r="G251" s="64"/>
      <c r="H251" s="35"/>
      <c r="I251" s="35"/>
      <c r="J251" s="35"/>
      <c r="K251" s="35"/>
      <c r="L251" s="64"/>
      <c r="M251" s="35"/>
    </row>
    <row r="252" customFormat="false" ht="15" hidden="false" customHeight="false" outlineLevel="0" collapsed="false">
      <c r="A252" s="59"/>
      <c r="B252" s="35"/>
      <c r="C252" s="35"/>
      <c r="D252" s="35"/>
      <c r="E252" s="35"/>
      <c r="F252" s="35"/>
      <c r="G252" s="64"/>
      <c r="H252" s="35"/>
      <c r="I252" s="35"/>
      <c r="J252" s="35"/>
      <c r="K252" s="35"/>
      <c r="L252" s="64"/>
      <c r="M252" s="35"/>
    </row>
    <row r="253" customFormat="false" ht="15" hidden="false" customHeight="false" outlineLevel="0" collapsed="false">
      <c r="A253" s="59"/>
      <c r="B253" s="35"/>
      <c r="C253" s="35"/>
      <c r="D253" s="35"/>
      <c r="E253" s="35"/>
      <c r="F253" s="35"/>
      <c r="G253" s="64"/>
      <c r="H253" s="35"/>
      <c r="I253" s="35"/>
      <c r="J253" s="35"/>
      <c r="K253" s="35"/>
      <c r="L253" s="64"/>
      <c r="M253" s="35"/>
    </row>
    <row r="254" customFormat="false" ht="15" hidden="false" customHeight="false" outlineLevel="0" collapsed="false">
      <c r="A254" s="59"/>
      <c r="B254" s="35"/>
      <c r="C254" s="35"/>
      <c r="D254" s="35"/>
      <c r="E254" s="35"/>
      <c r="F254" s="35"/>
      <c r="G254" s="64"/>
      <c r="H254" s="35"/>
      <c r="I254" s="35"/>
      <c r="J254" s="35"/>
      <c r="K254" s="35"/>
      <c r="L254" s="64"/>
      <c r="M254" s="35"/>
    </row>
    <row r="255" customFormat="false" ht="15" hidden="false" customHeight="false" outlineLevel="0" collapsed="false">
      <c r="A255" s="59"/>
      <c r="B255" s="35"/>
      <c r="C255" s="35"/>
      <c r="D255" s="35"/>
      <c r="E255" s="35"/>
      <c r="F255" s="35"/>
      <c r="G255" s="64"/>
      <c r="H255" s="35"/>
      <c r="I255" s="35"/>
      <c r="J255" s="35"/>
      <c r="K255" s="35"/>
      <c r="L255" s="64"/>
      <c r="M255" s="35"/>
    </row>
    <row r="256" customFormat="false" ht="15" hidden="false" customHeight="false" outlineLevel="0" collapsed="false">
      <c r="A256" s="59"/>
      <c r="B256" s="35"/>
      <c r="C256" s="35"/>
      <c r="D256" s="35"/>
      <c r="E256" s="35"/>
      <c r="F256" s="35"/>
      <c r="G256" s="64"/>
      <c r="H256" s="35"/>
      <c r="I256" s="35"/>
      <c r="J256" s="35"/>
      <c r="K256" s="35"/>
      <c r="L256" s="64"/>
      <c r="M256" s="35"/>
    </row>
    <row r="257" customFormat="false" ht="15" hidden="false" customHeight="false" outlineLevel="0" collapsed="false">
      <c r="A257" s="59"/>
      <c r="B257" s="35"/>
      <c r="C257" s="35"/>
      <c r="D257" s="35"/>
      <c r="E257" s="35"/>
      <c r="F257" s="35"/>
      <c r="G257" s="64"/>
      <c r="H257" s="35"/>
      <c r="I257" s="35"/>
      <c r="J257" s="35"/>
      <c r="K257" s="35"/>
      <c r="L257" s="64"/>
      <c r="M257" s="35"/>
    </row>
    <row r="258" customFormat="false" ht="15" hidden="false" customHeight="false" outlineLevel="0" collapsed="false">
      <c r="A258" s="59"/>
      <c r="B258" s="35"/>
      <c r="C258" s="35"/>
      <c r="D258" s="35"/>
      <c r="E258" s="35"/>
      <c r="F258" s="35"/>
      <c r="G258" s="64"/>
      <c r="H258" s="35"/>
      <c r="I258" s="35"/>
      <c r="J258" s="35"/>
      <c r="K258" s="35"/>
      <c r="L258" s="64"/>
      <c r="M258" s="35"/>
    </row>
    <row r="259" customFormat="false" ht="15" hidden="false" customHeight="false" outlineLevel="0" collapsed="false">
      <c r="A259" s="59"/>
      <c r="B259" s="35"/>
      <c r="C259" s="35"/>
      <c r="D259" s="35"/>
      <c r="E259" s="35"/>
      <c r="F259" s="35"/>
      <c r="G259" s="64"/>
      <c r="H259" s="35"/>
      <c r="I259" s="35"/>
      <c r="J259" s="35"/>
      <c r="K259" s="35"/>
      <c r="L259" s="64"/>
      <c r="M259" s="35"/>
    </row>
    <row r="260" customFormat="false" ht="15" hidden="false" customHeight="false" outlineLevel="0" collapsed="false">
      <c r="A260" s="59"/>
      <c r="B260" s="35"/>
      <c r="C260" s="35"/>
      <c r="D260" s="35"/>
      <c r="E260" s="35"/>
      <c r="F260" s="35"/>
      <c r="G260" s="64"/>
      <c r="H260" s="35"/>
      <c r="I260" s="35"/>
      <c r="J260" s="35"/>
      <c r="K260" s="35"/>
      <c r="L260" s="64"/>
      <c r="M260" s="35"/>
    </row>
    <row r="261" customFormat="false" ht="15" hidden="false" customHeight="false" outlineLevel="0" collapsed="false">
      <c r="A261" s="59"/>
      <c r="B261" s="35"/>
      <c r="C261" s="35"/>
      <c r="D261" s="35"/>
      <c r="E261" s="35"/>
      <c r="F261" s="35"/>
      <c r="G261" s="64"/>
      <c r="H261" s="35"/>
      <c r="I261" s="35"/>
      <c r="J261" s="35"/>
      <c r="K261" s="35"/>
      <c r="L261" s="64"/>
      <c r="M261" s="35"/>
    </row>
    <row r="262" customFormat="false" ht="15" hidden="false" customHeight="false" outlineLevel="0" collapsed="false">
      <c r="A262" s="59"/>
      <c r="B262" s="35"/>
      <c r="C262" s="35"/>
      <c r="D262" s="35"/>
      <c r="E262" s="35"/>
      <c r="F262" s="35"/>
      <c r="G262" s="64"/>
      <c r="H262" s="35"/>
      <c r="I262" s="35"/>
      <c r="J262" s="35"/>
      <c r="K262" s="35"/>
      <c r="L262" s="64"/>
      <c r="M262" s="35"/>
    </row>
    <row r="263" customFormat="false" ht="15" hidden="false" customHeight="false" outlineLevel="0" collapsed="false">
      <c r="A263" s="59"/>
      <c r="B263" s="35"/>
      <c r="C263" s="35"/>
      <c r="D263" s="35"/>
      <c r="E263" s="35"/>
      <c r="F263" s="35"/>
      <c r="G263" s="64"/>
      <c r="H263" s="35"/>
      <c r="I263" s="35"/>
      <c r="J263" s="35"/>
      <c r="K263" s="35"/>
      <c r="L263" s="64"/>
      <c r="M263" s="35"/>
    </row>
    <row r="264" customFormat="false" ht="15" hidden="false" customHeight="false" outlineLevel="0" collapsed="false">
      <c r="A264" s="59"/>
      <c r="B264" s="35"/>
      <c r="C264" s="35"/>
      <c r="D264" s="35"/>
      <c r="E264" s="35"/>
      <c r="F264" s="35"/>
      <c r="G264" s="64"/>
      <c r="H264" s="35"/>
      <c r="I264" s="35"/>
      <c r="J264" s="35"/>
      <c r="K264" s="35"/>
      <c r="L264" s="64"/>
      <c r="M264" s="35"/>
    </row>
    <row r="265" customFormat="false" ht="15" hidden="false" customHeight="false" outlineLevel="0" collapsed="false">
      <c r="A265" s="59"/>
      <c r="B265" s="35"/>
      <c r="C265" s="35"/>
      <c r="D265" s="35"/>
      <c r="E265" s="35"/>
      <c r="F265" s="35"/>
      <c r="G265" s="64"/>
      <c r="H265" s="35"/>
      <c r="I265" s="35"/>
      <c r="J265" s="35"/>
      <c r="K265" s="35"/>
      <c r="L265" s="64"/>
      <c r="M265" s="35"/>
    </row>
    <row r="266" customFormat="false" ht="15" hidden="false" customHeight="false" outlineLevel="0" collapsed="false">
      <c r="A266" s="59"/>
      <c r="B266" s="35"/>
      <c r="C266" s="35"/>
      <c r="D266" s="35"/>
      <c r="E266" s="35"/>
      <c r="F266" s="35"/>
      <c r="G266" s="64"/>
      <c r="H266" s="35"/>
      <c r="I266" s="35"/>
      <c r="J266" s="35"/>
      <c r="K266" s="35"/>
      <c r="L266" s="64"/>
      <c r="M266" s="35"/>
    </row>
    <row r="267" customFormat="false" ht="15" hidden="false" customHeight="false" outlineLevel="0" collapsed="false">
      <c r="A267" s="59"/>
      <c r="B267" s="35"/>
      <c r="C267" s="35"/>
      <c r="D267" s="35"/>
      <c r="E267" s="35"/>
      <c r="F267" s="35"/>
      <c r="G267" s="64"/>
      <c r="H267" s="35"/>
      <c r="I267" s="35"/>
      <c r="J267" s="35"/>
      <c r="K267" s="35"/>
      <c r="L267" s="64"/>
      <c r="M267" s="35"/>
    </row>
    <row r="268" customFormat="false" ht="15" hidden="false" customHeight="false" outlineLevel="0" collapsed="false">
      <c r="A268" s="59"/>
      <c r="B268" s="35"/>
      <c r="C268" s="35"/>
      <c r="D268" s="35"/>
      <c r="E268" s="35"/>
      <c r="F268" s="35"/>
      <c r="G268" s="64"/>
      <c r="H268" s="35"/>
      <c r="I268" s="35"/>
      <c r="J268" s="35"/>
      <c r="K268" s="35"/>
      <c r="L268" s="64"/>
      <c r="M268" s="35"/>
    </row>
    <row r="269" customFormat="false" ht="15" hidden="false" customHeight="false" outlineLevel="0" collapsed="false">
      <c r="A269" s="59"/>
      <c r="B269" s="35"/>
      <c r="C269" s="35"/>
      <c r="D269" s="35"/>
      <c r="E269" s="35"/>
      <c r="F269" s="35"/>
      <c r="G269" s="64"/>
      <c r="H269" s="35"/>
      <c r="I269" s="35"/>
      <c r="J269" s="35"/>
      <c r="K269" s="35"/>
      <c r="L269" s="64"/>
      <c r="M269" s="35"/>
    </row>
    <row r="270" customFormat="false" ht="15" hidden="false" customHeight="false" outlineLevel="0" collapsed="false">
      <c r="A270" s="59"/>
      <c r="B270" s="35"/>
      <c r="C270" s="35"/>
      <c r="D270" s="35"/>
      <c r="E270" s="35"/>
      <c r="F270" s="35"/>
      <c r="G270" s="64"/>
      <c r="H270" s="35"/>
      <c r="I270" s="35"/>
      <c r="J270" s="35"/>
      <c r="K270" s="35"/>
      <c r="L270" s="64"/>
      <c r="M270" s="35"/>
    </row>
    <row r="271" customFormat="false" ht="15" hidden="false" customHeight="false" outlineLevel="0" collapsed="false">
      <c r="A271" s="59"/>
      <c r="B271" s="35"/>
      <c r="C271" s="35"/>
      <c r="D271" s="35"/>
      <c r="E271" s="35"/>
      <c r="F271" s="35"/>
      <c r="G271" s="64"/>
      <c r="H271" s="35"/>
      <c r="I271" s="35"/>
      <c r="J271" s="35"/>
      <c r="K271" s="35"/>
      <c r="L271" s="64"/>
      <c r="M271" s="35"/>
    </row>
    <row r="272" customFormat="false" ht="15" hidden="false" customHeight="false" outlineLevel="0" collapsed="false">
      <c r="A272" s="59"/>
      <c r="B272" s="35"/>
      <c r="C272" s="35"/>
      <c r="D272" s="35"/>
      <c r="E272" s="35"/>
      <c r="F272" s="35"/>
      <c r="G272" s="64"/>
      <c r="H272" s="35"/>
      <c r="I272" s="35"/>
      <c r="J272" s="35"/>
      <c r="K272" s="35"/>
      <c r="L272" s="64"/>
      <c r="M272" s="35"/>
    </row>
    <row r="273" customFormat="false" ht="15" hidden="false" customHeight="false" outlineLevel="0" collapsed="false">
      <c r="A273" s="59"/>
      <c r="B273" s="35"/>
      <c r="C273" s="35"/>
      <c r="D273" s="35"/>
      <c r="E273" s="35"/>
      <c r="F273" s="35"/>
      <c r="G273" s="64"/>
      <c r="H273" s="35"/>
      <c r="I273" s="35"/>
      <c r="J273" s="35"/>
      <c r="K273" s="35"/>
      <c r="L273" s="64"/>
      <c r="M273" s="35"/>
    </row>
    <row r="274" customFormat="false" ht="15" hidden="false" customHeight="false" outlineLevel="0" collapsed="false">
      <c r="A274" s="59"/>
      <c r="B274" s="35"/>
      <c r="C274" s="35"/>
      <c r="D274" s="35"/>
      <c r="E274" s="35"/>
      <c r="F274" s="35"/>
      <c r="G274" s="64"/>
      <c r="H274" s="35"/>
      <c r="I274" s="35"/>
      <c r="J274" s="35"/>
      <c r="K274" s="35"/>
      <c r="L274" s="64"/>
      <c r="M274" s="35"/>
    </row>
    <row r="275" customFormat="false" ht="15" hidden="false" customHeight="false" outlineLevel="0" collapsed="false">
      <c r="A275" s="59"/>
      <c r="B275" s="35"/>
      <c r="C275" s="35"/>
      <c r="D275" s="35"/>
      <c r="E275" s="35"/>
      <c r="F275" s="35"/>
      <c r="G275" s="64"/>
      <c r="H275" s="35"/>
      <c r="I275" s="35"/>
      <c r="J275" s="35"/>
      <c r="K275" s="35"/>
      <c r="L275" s="64"/>
      <c r="M275" s="35"/>
    </row>
    <row r="276" customFormat="false" ht="15" hidden="false" customHeight="false" outlineLevel="0" collapsed="false">
      <c r="A276" s="59"/>
      <c r="B276" s="35"/>
      <c r="C276" s="35"/>
      <c r="D276" s="35"/>
      <c r="E276" s="35"/>
      <c r="F276" s="35"/>
      <c r="G276" s="64"/>
      <c r="H276" s="35"/>
      <c r="I276" s="35"/>
      <c r="J276" s="35"/>
      <c r="K276" s="35"/>
      <c r="L276" s="64"/>
      <c r="M276" s="35"/>
    </row>
    <row r="277" customFormat="false" ht="15" hidden="false" customHeight="false" outlineLevel="0" collapsed="false">
      <c r="A277" s="59"/>
      <c r="B277" s="35"/>
      <c r="C277" s="35"/>
      <c r="D277" s="35"/>
      <c r="E277" s="35"/>
      <c r="F277" s="35"/>
      <c r="G277" s="64"/>
      <c r="H277" s="35"/>
      <c r="I277" s="35"/>
      <c r="J277" s="35"/>
      <c r="K277" s="35"/>
      <c r="L277" s="64"/>
      <c r="M277" s="35"/>
    </row>
    <row r="278" customFormat="false" ht="15" hidden="false" customHeight="false" outlineLevel="0" collapsed="false">
      <c r="A278" s="59"/>
      <c r="B278" s="35"/>
      <c r="C278" s="35"/>
      <c r="D278" s="35"/>
      <c r="E278" s="35"/>
      <c r="F278" s="35"/>
      <c r="G278" s="64"/>
      <c r="H278" s="35"/>
      <c r="I278" s="35"/>
      <c r="J278" s="35"/>
      <c r="K278" s="35"/>
      <c r="L278" s="64"/>
      <c r="M278" s="35"/>
    </row>
    <row r="279" customFormat="false" ht="15" hidden="false" customHeight="false" outlineLevel="0" collapsed="false">
      <c r="A279" s="59"/>
      <c r="B279" s="35"/>
      <c r="C279" s="35"/>
      <c r="D279" s="35"/>
      <c r="E279" s="35"/>
      <c r="F279" s="35"/>
      <c r="G279" s="64"/>
      <c r="H279" s="35"/>
      <c r="I279" s="35"/>
      <c r="J279" s="35"/>
      <c r="K279" s="35"/>
      <c r="L279" s="64"/>
      <c r="M279" s="35"/>
    </row>
    <row r="280" customFormat="false" ht="15" hidden="false" customHeight="false" outlineLevel="0" collapsed="false">
      <c r="A280" s="59"/>
      <c r="B280" s="35"/>
      <c r="C280" s="35"/>
      <c r="D280" s="35"/>
      <c r="E280" s="35"/>
      <c r="F280" s="35"/>
      <c r="G280" s="64"/>
      <c r="H280" s="35"/>
      <c r="I280" s="35"/>
      <c r="J280" s="35"/>
      <c r="K280" s="35"/>
      <c r="L280" s="64"/>
      <c r="M280" s="35"/>
    </row>
    <row r="281" customFormat="false" ht="15" hidden="false" customHeight="false" outlineLevel="0" collapsed="false">
      <c r="A281" s="59"/>
      <c r="B281" s="35"/>
      <c r="C281" s="35"/>
      <c r="D281" s="35"/>
      <c r="E281" s="35"/>
      <c r="F281" s="35"/>
      <c r="G281" s="64"/>
      <c r="H281" s="35"/>
      <c r="I281" s="35"/>
      <c r="J281" s="35"/>
      <c r="K281" s="35"/>
      <c r="L281" s="64"/>
      <c r="M281" s="35"/>
    </row>
    <row r="282" customFormat="false" ht="15" hidden="false" customHeight="false" outlineLevel="0" collapsed="false">
      <c r="A282" s="59"/>
      <c r="B282" s="35"/>
      <c r="C282" s="35"/>
      <c r="D282" s="35"/>
      <c r="E282" s="35"/>
      <c r="F282" s="35"/>
      <c r="G282" s="64"/>
      <c r="H282" s="35"/>
      <c r="I282" s="35"/>
      <c r="J282" s="35"/>
      <c r="K282" s="35"/>
      <c r="L282" s="64"/>
      <c r="M282" s="35"/>
    </row>
    <row r="283" customFormat="false" ht="15" hidden="false" customHeight="false" outlineLevel="0" collapsed="false">
      <c r="A283" s="59"/>
      <c r="B283" s="35"/>
      <c r="C283" s="35"/>
      <c r="D283" s="35"/>
      <c r="E283" s="35"/>
      <c r="F283" s="35"/>
      <c r="G283" s="64"/>
      <c r="H283" s="35"/>
      <c r="I283" s="35"/>
      <c r="J283" s="35"/>
      <c r="K283" s="35"/>
      <c r="L283" s="64"/>
      <c r="M283" s="35"/>
    </row>
    <row r="284" customFormat="false" ht="15" hidden="false" customHeight="false" outlineLevel="0" collapsed="false">
      <c r="A284" s="59"/>
      <c r="B284" s="35"/>
      <c r="C284" s="35"/>
      <c r="D284" s="35"/>
      <c r="E284" s="35"/>
      <c r="F284" s="35"/>
      <c r="G284" s="64"/>
      <c r="H284" s="35"/>
      <c r="I284" s="35"/>
      <c r="J284" s="35"/>
      <c r="K284" s="35"/>
      <c r="L284" s="64"/>
      <c r="M284" s="35"/>
    </row>
    <row r="285" customFormat="false" ht="15" hidden="false" customHeight="false" outlineLevel="0" collapsed="false">
      <c r="A285" s="59"/>
      <c r="B285" s="35"/>
      <c r="C285" s="35"/>
      <c r="D285" s="35"/>
      <c r="E285" s="35"/>
      <c r="F285" s="35"/>
      <c r="G285" s="64"/>
      <c r="H285" s="35"/>
      <c r="I285" s="35"/>
      <c r="J285" s="35"/>
      <c r="K285" s="35"/>
      <c r="L285" s="64"/>
      <c r="M285" s="35"/>
    </row>
    <row r="286" customFormat="false" ht="15" hidden="false" customHeight="false" outlineLevel="0" collapsed="false">
      <c r="A286" s="59"/>
      <c r="B286" s="35"/>
      <c r="C286" s="35"/>
      <c r="D286" s="35"/>
      <c r="E286" s="35"/>
      <c r="F286" s="35"/>
      <c r="G286" s="64"/>
      <c r="H286" s="35"/>
      <c r="I286" s="35"/>
      <c r="J286" s="35"/>
      <c r="K286" s="35"/>
      <c r="L286" s="64"/>
      <c r="M286" s="35"/>
    </row>
    <row r="287" customFormat="false" ht="15" hidden="false" customHeight="false" outlineLevel="0" collapsed="false">
      <c r="A287" s="59"/>
      <c r="B287" s="35"/>
      <c r="C287" s="35"/>
      <c r="D287" s="35"/>
      <c r="E287" s="35"/>
      <c r="F287" s="35"/>
      <c r="G287" s="64"/>
      <c r="H287" s="35"/>
      <c r="I287" s="35"/>
      <c r="J287" s="35"/>
      <c r="K287" s="35"/>
      <c r="L287" s="64"/>
      <c r="M287" s="35"/>
    </row>
    <row r="288" customFormat="false" ht="15" hidden="false" customHeight="false" outlineLevel="0" collapsed="false">
      <c r="A288" s="59"/>
      <c r="B288" s="35"/>
      <c r="C288" s="35"/>
      <c r="D288" s="35"/>
      <c r="E288" s="35"/>
      <c r="F288" s="35"/>
      <c r="G288" s="64"/>
      <c r="H288" s="35"/>
      <c r="I288" s="35"/>
      <c r="J288" s="35"/>
      <c r="K288" s="35"/>
      <c r="L288" s="64"/>
      <c r="M288" s="35"/>
    </row>
    <row r="289" customFormat="false" ht="15" hidden="false" customHeight="false" outlineLevel="0" collapsed="false">
      <c r="A289" s="59"/>
      <c r="B289" s="35"/>
      <c r="C289" s="35"/>
      <c r="D289" s="35"/>
      <c r="E289" s="35"/>
      <c r="F289" s="35"/>
      <c r="G289" s="64"/>
      <c r="H289" s="35"/>
      <c r="I289" s="35"/>
      <c r="J289" s="35"/>
      <c r="K289" s="35"/>
      <c r="L289" s="64"/>
      <c r="M289" s="35"/>
    </row>
    <row r="290" customFormat="false" ht="15" hidden="false" customHeight="false" outlineLevel="0" collapsed="false">
      <c r="A290" s="59"/>
      <c r="B290" s="35"/>
      <c r="C290" s="35"/>
      <c r="D290" s="35"/>
      <c r="E290" s="35"/>
      <c r="F290" s="35"/>
      <c r="G290" s="64"/>
      <c r="H290" s="35"/>
      <c r="I290" s="35"/>
      <c r="J290" s="35"/>
      <c r="K290" s="35"/>
      <c r="L290" s="64"/>
      <c r="M290" s="35"/>
    </row>
    <row r="291" customFormat="false" ht="15" hidden="false" customHeight="false" outlineLevel="0" collapsed="false">
      <c r="A291" s="59"/>
      <c r="B291" s="35"/>
      <c r="C291" s="35"/>
      <c r="D291" s="35"/>
      <c r="E291" s="35"/>
      <c r="F291" s="35"/>
      <c r="G291" s="64"/>
      <c r="H291" s="35"/>
      <c r="I291" s="35"/>
      <c r="J291" s="35"/>
      <c r="K291" s="35"/>
      <c r="L291" s="64"/>
      <c r="M291" s="35"/>
    </row>
    <row r="292" customFormat="false" ht="15" hidden="false" customHeight="false" outlineLevel="0" collapsed="false">
      <c r="A292" s="59"/>
      <c r="B292" s="35"/>
      <c r="C292" s="35"/>
      <c r="D292" s="35"/>
      <c r="E292" s="35"/>
      <c r="F292" s="35"/>
      <c r="G292" s="64"/>
      <c r="H292" s="35"/>
      <c r="I292" s="35"/>
      <c r="J292" s="35"/>
      <c r="K292" s="35"/>
      <c r="L292" s="64"/>
      <c r="M292" s="35"/>
    </row>
    <row r="293" customFormat="false" ht="15" hidden="false" customHeight="false" outlineLevel="0" collapsed="false">
      <c r="A293" s="59"/>
      <c r="B293" s="35"/>
      <c r="C293" s="35"/>
      <c r="D293" s="35"/>
      <c r="E293" s="35"/>
      <c r="F293" s="35"/>
      <c r="G293" s="64"/>
      <c r="H293" s="35"/>
      <c r="I293" s="35"/>
      <c r="J293" s="35"/>
      <c r="K293" s="35"/>
      <c r="L293" s="64"/>
      <c r="M293" s="35"/>
    </row>
    <row r="294" customFormat="false" ht="15" hidden="false" customHeight="false" outlineLevel="0" collapsed="false">
      <c r="A294" s="59"/>
      <c r="B294" s="35"/>
      <c r="C294" s="35"/>
      <c r="D294" s="35"/>
      <c r="E294" s="35"/>
      <c r="F294" s="35"/>
      <c r="G294" s="64"/>
      <c r="H294" s="35"/>
      <c r="I294" s="35"/>
      <c r="J294" s="35"/>
      <c r="K294" s="35"/>
      <c r="L294" s="64"/>
      <c r="M294" s="35"/>
    </row>
    <row r="295" customFormat="false" ht="15" hidden="false" customHeight="false" outlineLevel="0" collapsed="false">
      <c r="A295" s="59"/>
      <c r="B295" s="35"/>
      <c r="C295" s="35"/>
      <c r="D295" s="35"/>
      <c r="E295" s="35"/>
      <c r="F295" s="35"/>
      <c r="G295" s="64"/>
      <c r="H295" s="35"/>
      <c r="I295" s="35"/>
      <c r="J295" s="35"/>
      <c r="K295" s="35"/>
      <c r="L295" s="64"/>
      <c r="M295" s="35"/>
    </row>
    <row r="296" customFormat="false" ht="15" hidden="false" customHeight="false" outlineLevel="0" collapsed="false">
      <c r="A296" s="59"/>
      <c r="B296" s="35"/>
      <c r="C296" s="35"/>
      <c r="D296" s="35"/>
      <c r="E296" s="35"/>
      <c r="F296" s="35"/>
      <c r="G296" s="64"/>
      <c r="H296" s="35"/>
      <c r="I296" s="35"/>
      <c r="J296" s="35"/>
      <c r="K296" s="35"/>
      <c r="L296" s="64"/>
      <c r="M296" s="35"/>
    </row>
    <row r="297" customFormat="false" ht="15" hidden="false" customHeight="false" outlineLevel="0" collapsed="false">
      <c r="A297" s="59"/>
      <c r="B297" s="35"/>
      <c r="C297" s="35"/>
      <c r="D297" s="35"/>
      <c r="E297" s="35"/>
      <c r="F297" s="35"/>
      <c r="G297" s="64"/>
      <c r="H297" s="35"/>
      <c r="I297" s="35"/>
      <c r="J297" s="35"/>
      <c r="K297" s="35"/>
      <c r="L297" s="64"/>
      <c r="M297" s="35"/>
    </row>
    <row r="298" customFormat="false" ht="15" hidden="false" customHeight="false" outlineLevel="0" collapsed="false">
      <c r="A298" s="59"/>
      <c r="B298" s="35"/>
      <c r="C298" s="35"/>
      <c r="D298" s="35"/>
      <c r="E298" s="35"/>
      <c r="F298" s="35"/>
      <c r="G298" s="64"/>
      <c r="H298" s="35"/>
      <c r="I298" s="35"/>
      <c r="J298" s="35"/>
      <c r="K298" s="35"/>
      <c r="L298" s="64"/>
      <c r="M298" s="35"/>
    </row>
    <row r="299" customFormat="false" ht="15" hidden="false" customHeight="false" outlineLevel="0" collapsed="false">
      <c r="A299" s="59"/>
      <c r="B299" s="35"/>
      <c r="C299" s="35"/>
      <c r="D299" s="35"/>
      <c r="E299" s="35"/>
      <c r="F299" s="35"/>
      <c r="G299" s="64"/>
      <c r="H299" s="35"/>
      <c r="I299" s="35"/>
      <c r="J299" s="35"/>
      <c r="K299" s="35"/>
      <c r="L299" s="64"/>
      <c r="M299" s="35"/>
    </row>
    <row r="300" customFormat="false" ht="15" hidden="false" customHeight="false" outlineLevel="0" collapsed="false">
      <c r="A300" s="59"/>
      <c r="B300" s="35"/>
      <c r="C300" s="35"/>
      <c r="D300" s="35"/>
      <c r="E300" s="35"/>
      <c r="F300" s="35"/>
      <c r="G300" s="64"/>
      <c r="H300" s="35"/>
      <c r="I300" s="35"/>
      <c r="J300" s="35"/>
      <c r="K300" s="35"/>
      <c r="L300" s="64"/>
      <c r="M300" s="35"/>
    </row>
    <row r="301" customFormat="false" ht="15" hidden="false" customHeight="false" outlineLevel="0" collapsed="false">
      <c r="A301" s="59"/>
      <c r="B301" s="35"/>
      <c r="C301" s="35"/>
      <c r="D301" s="35"/>
      <c r="E301" s="35"/>
      <c r="F301" s="35"/>
      <c r="G301" s="64"/>
      <c r="H301" s="35"/>
      <c r="I301" s="35"/>
      <c r="J301" s="35"/>
      <c r="K301" s="35"/>
      <c r="L301" s="64"/>
      <c r="M301" s="35"/>
    </row>
    <row r="302" customFormat="false" ht="15" hidden="false" customHeight="false" outlineLevel="0" collapsed="false">
      <c r="A302" s="59"/>
      <c r="B302" s="35"/>
      <c r="C302" s="35"/>
      <c r="D302" s="35"/>
      <c r="E302" s="35"/>
      <c r="F302" s="35"/>
      <c r="G302" s="64"/>
      <c r="H302" s="35"/>
      <c r="I302" s="35"/>
      <c r="J302" s="35"/>
      <c r="K302" s="35"/>
      <c r="L302" s="64"/>
      <c r="M302" s="35"/>
    </row>
    <row r="303" customFormat="false" ht="15" hidden="false" customHeight="false" outlineLevel="0" collapsed="false">
      <c r="A303" s="59"/>
      <c r="B303" s="35"/>
      <c r="C303" s="35"/>
      <c r="D303" s="35"/>
      <c r="E303" s="35"/>
      <c r="F303" s="35"/>
      <c r="G303" s="64"/>
      <c r="H303" s="35"/>
      <c r="I303" s="35"/>
      <c r="J303" s="35"/>
      <c r="K303" s="35"/>
      <c r="L303" s="64"/>
      <c r="M303" s="35"/>
    </row>
    <row r="304" customFormat="false" ht="15" hidden="false" customHeight="false" outlineLevel="0" collapsed="false">
      <c r="A304" s="59"/>
      <c r="B304" s="35"/>
      <c r="C304" s="35"/>
      <c r="D304" s="35"/>
      <c r="E304" s="35"/>
      <c r="F304" s="35"/>
      <c r="G304" s="64"/>
      <c r="H304" s="35"/>
      <c r="I304" s="35"/>
      <c r="J304" s="35"/>
      <c r="K304" s="35"/>
      <c r="L304" s="64"/>
      <c r="M304" s="35"/>
    </row>
    <row r="305" customFormat="false" ht="15" hidden="false" customHeight="false" outlineLevel="0" collapsed="false">
      <c r="A305" s="59"/>
      <c r="B305" s="35"/>
      <c r="C305" s="35"/>
      <c r="D305" s="35"/>
      <c r="E305" s="35"/>
      <c r="F305" s="35"/>
      <c r="G305" s="64"/>
      <c r="H305" s="35"/>
      <c r="I305" s="35"/>
      <c r="J305" s="35"/>
      <c r="K305" s="35"/>
      <c r="L305" s="64"/>
      <c r="M305" s="35"/>
    </row>
    <row r="306" customFormat="false" ht="15" hidden="false" customHeight="false" outlineLevel="0" collapsed="false">
      <c r="A306" s="59"/>
      <c r="B306" s="35"/>
      <c r="C306" s="35"/>
      <c r="D306" s="35"/>
      <c r="E306" s="35"/>
      <c r="F306" s="35"/>
      <c r="G306" s="64"/>
      <c r="H306" s="35"/>
      <c r="I306" s="35"/>
      <c r="J306" s="35"/>
      <c r="K306" s="35"/>
      <c r="L306" s="64"/>
      <c r="M306" s="35"/>
    </row>
    <row r="307" customFormat="false" ht="15" hidden="false" customHeight="false" outlineLevel="0" collapsed="false">
      <c r="A307" s="59"/>
      <c r="B307" s="35"/>
      <c r="C307" s="35"/>
      <c r="D307" s="35"/>
      <c r="E307" s="35"/>
      <c r="F307" s="35"/>
      <c r="G307" s="64"/>
      <c r="H307" s="35"/>
      <c r="I307" s="35"/>
      <c r="J307" s="35"/>
      <c r="K307" s="35"/>
      <c r="L307" s="64"/>
      <c r="M307" s="35"/>
    </row>
    <row r="308" customFormat="false" ht="15" hidden="false" customHeight="false" outlineLevel="0" collapsed="false">
      <c r="A308" s="59"/>
      <c r="B308" s="35"/>
      <c r="C308" s="35"/>
      <c r="D308" s="35"/>
      <c r="E308" s="35"/>
      <c r="F308" s="35"/>
      <c r="G308" s="64"/>
      <c r="H308" s="35"/>
      <c r="I308" s="35"/>
      <c r="J308" s="35"/>
      <c r="K308" s="35"/>
      <c r="L308" s="64"/>
      <c r="M308" s="35"/>
    </row>
    <row r="309" customFormat="false" ht="15" hidden="false" customHeight="false" outlineLevel="0" collapsed="false">
      <c r="A309" s="59"/>
      <c r="B309" s="35"/>
      <c r="C309" s="35"/>
      <c r="D309" s="35"/>
      <c r="E309" s="35"/>
      <c r="F309" s="35"/>
      <c r="G309" s="64"/>
      <c r="H309" s="35"/>
      <c r="I309" s="35"/>
      <c r="J309" s="35"/>
      <c r="K309" s="35"/>
      <c r="L309" s="64"/>
      <c r="M309" s="35"/>
    </row>
    <row r="310" customFormat="false" ht="15" hidden="false" customHeight="false" outlineLevel="0" collapsed="false">
      <c r="A310" s="59"/>
      <c r="B310" s="35"/>
      <c r="C310" s="35"/>
      <c r="D310" s="35"/>
      <c r="E310" s="35"/>
      <c r="F310" s="35"/>
      <c r="G310" s="64"/>
      <c r="H310" s="35"/>
      <c r="I310" s="35"/>
      <c r="J310" s="35"/>
      <c r="K310" s="35"/>
      <c r="L310" s="64"/>
      <c r="M310" s="35"/>
    </row>
    <row r="311" customFormat="false" ht="15" hidden="false" customHeight="false" outlineLevel="0" collapsed="false">
      <c r="A311" s="59"/>
      <c r="B311" s="35"/>
      <c r="C311" s="35"/>
      <c r="D311" s="35"/>
      <c r="E311" s="35"/>
      <c r="F311" s="35"/>
      <c r="G311" s="64"/>
      <c r="H311" s="35"/>
      <c r="I311" s="35"/>
      <c r="J311" s="35"/>
      <c r="K311" s="35"/>
      <c r="L311" s="64"/>
      <c r="M311" s="35"/>
    </row>
    <row r="312" customFormat="false" ht="15" hidden="false" customHeight="false" outlineLevel="0" collapsed="false">
      <c r="A312" s="59"/>
      <c r="B312" s="35"/>
      <c r="C312" s="35"/>
      <c r="D312" s="35"/>
      <c r="E312" s="35"/>
      <c r="F312" s="35"/>
      <c r="G312" s="64"/>
      <c r="H312" s="35"/>
      <c r="I312" s="35"/>
      <c r="J312" s="35"/>
      <c r="K312" s="35"/>
      <c r="L312" s="64"/>
      <c r="M312" s="35"/>
    </row>
    <row r="313" customFormat="false" ht="15" hidden="false" customHeight="false" outlineLevel="0" collapsed="false">
      <c r="A313" s="59"/>
      <c r="B313" s="35"/>
      <c r="C313" s="35"/>
      <c r="D313" s="35"/>
      <c r="E313" s="35"/>
      <c r="F313" s="35"/>
      <c r="G313" s="64"/>
      <c r="H313" s="35"/>
      <c r="I313" s="35"/>
      <c r="J313" s="35"/>
      <c r="K313" s="35"/>
      <c r="L313" s="64"/>
      <c r="M313" s="35"/>
    </row>
    <row r="314" customFormat="false" ht="15" hidden="false" customHeight="false" outlineLevel="0" collapsed="false">
      <c r="A314" s="59"/>
      <c r="B314" s="35"/>
      <c r="C314" s="35"/>
      <c r="D314" s="35"/>
      <c r="E314" s="35"/>
      <c r="F314" s="35"/>
      <c r="G314" s="64"/>
      <c r="H314" s="35"/>
      <c r="I314" s="35"/>
      <c r="J314" s="35"/>
      <c r="K314" s="35"/>
      <c r="L314" s="64"/>
      <c r="M314" s="35"/>
    </row>
    <row r="315" customFormat="false" ht="15" hidden="false" customHeight="false" outlineLevel="0" collapsed="false">
      <c r="A315" s="59"/>
      <c r="B315" s="35"/>
      <c r="C315" s="35"/>
      <c r="D315" s="35"/>
      <c r="E315" s="35"/>
      <c r="F315" s="35"/>
      <c r="G315" s="64"/>
      <c r="H315" s="35"/>
      <c r="I315" s="35"/>
      <c r="J315" s="35"/>
      <c r="K315" s="35"/>
      <c r="L315" s="64"/>
      <c r="M315" s="35"/>
    </row>
    <row r="316" customFormat="false" ht="15" hidden="false" customHeight="false" outlineLevel="0" collapsed="false">
      <c r="A316" s="59"/>
      <c r="B316" s="35"/>
      <c r="C316" s="35"/>
      <c r="D316" s="35"/>
      <c r="E316" s="35"/>
      <c r="F316" s="35"/>
      <c r="G316" s="64"/>
      <c r="H316" s="35"/>
      <c r="I316" s="35"/>
      <c r="J316" s="35"/>
      <c r="K316" s="35"/>
      <c r="L316" s="64"/>
      <c r="M316" s="35"/>
    </row>
    <row r="317" customFormat="false" ht="15" hidden="false" customHeight="false" outlineLevel="0" collapsed="false">
      <c r="A317" s="59"/>
      <c r="B317" s="35"/>
      <c r="C317" s="35"/>
      <c r="D317" s="35"/>
      <c r="E317" s="35"/>
      <c r="F317" s="35"/>
      <c r="G317" s="64"/>
      <c r="H317" s="35"/>
      <c r="I317" s="35"/>
      <c r="J317" s="35"/>
      <c r="K317" s="35"/>
      <c r="L317" s="64"/>
      <c r="M317" s="35"/>
    </row>
    <row r="318" customFormat="false" ht="15" hidden="false" customHeight="false" outlineLevel="0" collapsed="false">
      <c r="A318" s="59"/>
      <c r="B318" s="35"/>
      <c r="C318" s="35"/>
      <c r="D318" s="35"/>
      <c r="E318" s="35"/>
      <c r="F318" s="35"/>
      <c r="G318" s="64"/>
      <c r="H318" s="35"/>
      <c r="I318" s="35"/>
      <c r="J318" s="35"/>
      <c r="K318" s="35"/>
      <c r="L318" s="64"/>
      <c r="M318" s="35"/>
    </row>
    <row r="319" customFormat="false" ht="15" hidden="false" customHeight="false" outlineLevel="0" collapsed="false">
      <c r="A319" s="59"/>
      <c r="B319" s="35"/>
      <c r="C319" s="35"/>
      <c r="D319" s="35"/>
      <c r="E319" s="35"/>
      <c r="F319" s="35"/>
      <c r="G319" s="64"/>
      <c r="H319" s="35"/>
      <c r="I319" s="35"/>
      <c r="J319" s="35"/>
      <c r="K319" s="35"/>
      <c r="L319" s="64"/>
      <c r="M319" s="35"/>
    </row>
    <row r="320" customFormat="false" ht="15" hidden="false" customHeight="false" outlineLevel="0" collapsed="false">
      <c r="A320" s="59"/>
      <c r="B320" s="35"/>
      <c r="C320" s="35"/>
      <c r="D320" s="35"/>
      <c r="E320" s="35"/>
      <c r="F320" s="35"/>
      <c r="G320" s="64"/>
      <c r="H320" s="35"/>
      <c r="I320" s="35"/>
      <c r="J320" s="35"/>
      <c r="K320" s="35"/>
      <c r="L320" s="64"/>
      <c r="M320" s="35"/>
    </row>
    <row r="321" customFormat="false" ht="15" hidden="false" customHeight="false" outlineLevel="0" collapsed="false">
      <c r="A321" s="59"/>
      <c r="B321" s="35"/>
      <c r="C321" s="35"/>
      <c r="D321" s="35"/>
      <c r="E321" s="35"/>
      <c r="F321" s="35"/>
      <c r="G321" s="64"/>
      <c r="H321" s="35"/>
      <c r="I321" s="35"/>
      <c r="J321" s="35"/>
      <c r="K321" s="35"/>
      <c r="L321" s="64"/>
      <c r="M321" s="35"/>
    </row>
    <row r="322" customFormat="false" ht="15" hidden="false" customHeight="false" outlineLevel="0" collapsed="false">
      <c r="A322" s="59"/>
      <c r="B322" s="35"/>
      <c r="C322" s="35"/>
      <c r="D322" s="35"/>
      <c r="E322" s="35"/>
      <c r="F322" s="35"/>
      <c r="G322" s="64"/>
      <c r="H322" s="35"/>
      <c r="I322" s="35"/>
      <c r="J322" s="35"/>
      <c r="K322" s="35"/>
      <c r="L322" s="64"/>
      <c r="M322" s="35"/>
    </row>
    <row r="323" customFormat="false" ht="15" hidden="false" customHeight="false" outlineLevel="0" collapsed="false">
      <c r="A323" s="59"/>
      <c r="B323" s="35"/>
      <c r="C323" s="35"/>
      <c r="D323" s="35"/>
      <c r="E323" s="35"/>
      <c r="F323" s="35"/>
      <c r="G323" s="64"/>
      <c r="H323" s="35"/>
      <c r="I323" s="35"/>
      <c r="J323" s="35"/>
      <c r="K323" s="35"/>
      <c r="L323" s="64"/>
      <c r="M323" s="35"/>
    </row>
    <row r="324" customFormat="false" ht="15" hidden="false" customHeight="false" outlineLevel="0" collapsed="false">
      <c r="A324" s="59"/>
      <c r="B324" s="35"/>
      <c r="C324" s="35"/>
      <c r="D324" s="35"/>
      <c r="E324" s="35"/>
      <c r="F324" s="35"/>
      <c r="G324" s="64"/>
      <c r="H324" s="35"/>
      <c r="I324" s="35"/>
      <c r="J324" s="35"/>
      <c r="K324" s="35"/>
      <c r="L324" s="64"/>
      <c r="M324" s="35"/>
    </row>
    <row r="325" customFormat="false" ht="15" hidden="false" customHeight="false" outlineLevel="0" collapsed="false">
      <c r="A325" s="59"/>
      <c r="B325" s="35"/>
      <c r="C325" s="35"/>
      <c r="D325" s="35"/>
      <c r="E325" s="35"/>
      <c r="F325" s="35"/>
      <c r="G325" s="64"/>
      <c r="H325" s="35"/>
      <c r="I325" s="35"/>
      <c r="J325" s="35"/>
      <c r="K325" s="35"/>
      <c r="L325" s="64"/>
      <c r="M325" s="35"/>
    </row>
    <row r="326" customFormat="false" ht="15" hidden="false" customHeight="false" outlineLevel="0" collapsed="false">
      <c r="A326" s="59"/>
      <c r="B326" s="35"/>
      <c r="C326" s="35"/>
      <c r="D326" s="35"/>
      <c r="E326" s="35"/>
      <c r="F326" s="35"/>
      <c r="G326" s="64"/>
      <c r="H326" s="35"/>
      <c r="I326" s="35"/>
      <c r="J326" s="35"/>
      <c r="K326" s="35"/>
      <c r="L326" s="64"/>
      <c r="M326" s="35"/>
    </row>
    <row r="327" customFormat="false" ht="15" hidden="false" customHeight="false" outlineLevel="0" collapsed="false">
      <c r="A327" s="59"/>
      <c r="B327" s="35"/>
      <c r="C327" s="35"/>
      <c r="D327" s="35"/>
      <c r="E327" s="35"/>
      <c r="F327" s="35"/>
      <c r="G327" s="64"/>
      <c r="H327" s="35"/>
      <c r="I327" s="35"/>
      <c r="J327" s="35"/>
      <c r="K327" s="35"/>
      <c r="L327" s="64"/>
      <c r="M327" s="35"/>
    </row>
    <row r="328" customFormat="false" ht="15" hidden="false" customHeight="false" outlineLevel="0" collapsed="false">
      <c r="A328" s="59"/>
      <c r="B328" s="35"/>
      <c r="C328" s="35"/>
      <c r="D328" s="35"/>
      <c r="E328" s="35"/>
      <c r="F328" s="35"/>
      <c r="G328" s="64"/>
      <c r="H328" s="35"/>
      <c r="I328" s="35"/>
      <c r="J328" s="35"/>
      <c r="K328" s="35"/>
      <c r="L328" s="64"/>
      <c r="M328" s="35"/>
    </row>
    <row r="329" customFormat="false" ht="15" hidden="false" customHeight="false" outlineLevel="0" collapsed="false">
      <c r="A329" s="59"/>
      <c r="B329" s="35"/>
      <c r="C329" s="35"/>
      <c r="D329" s="35"/>
      <c r="E329" s="35"/>
      <c r="F329" s="35"/>
      <c r="G329" s="64"/>
      <c r="H329" s="35"/>
      <c r="I329" s="35"/>
      <c r="J329" s="35"/>
      <c r="K329" s="35"/>
      <c r="L329" s="64"/>
      <c r="M329" s="35"/>
    </row>
    <row r="330" customFormat="false" ht="15" hidden="false" customHeight="false" outlineLevel="0" collapsed="false">
      <c r="A330" s="59"/>
      <c r="B330" s="35"/>
      <c r="C330" s="35"/>
      <c r="D330" s="35"/>
      <c r="E330" s="35"/>
      <c r="F330" s="35"/>
      <c r="G330" s="64"/>
      <c r="H330" s="35"/>
      <c r="I330" s="35"/>
      <c r="J330" s="35"/>
      <c r="K330" s="35"/>
      <c r="L330" s="64"/>
      <c r="M330" s="35"/>
    </row>
    <row r="331" customFormat="false" ht="15" hidden="false" customHeight="false" outlineLevel="0" collapsed="false">
      <c r="A331" s="59"/>
      <c r="B331" s="35"/>
      <c r="C331" s="35"/>
      <c r="D331" s="35"/>
      <c r="E331" s="35"/>
      <c r="F331" s="35"/>
      <c r="G331" s="64"/>
      <c r="H331" s="35"/>
      <c r="I331" s="35"/>
      <c r="J331" s="35"/>
      <c r="K331" s="35"/>
      <c r="L331" s="64"/>
      <c r="M331" s="35"/>
    </row>
    <row r="332" customFormat="false" ht="15" hidden="false" customHeight="false" outlineLevel="0" collapsed="false">
      <c r="A332" s="59"/>
      <c r="B332" s="35"/>
      <c r="C332" s="35"/>
      <c r="D332" s="35"/>
      <c r="E332" s="35"/>
      <c r="F332" s="35"/>
      <c r="G332" s="64"/>
      <c r="H332" s="35"/>
      <c r="I332" s="35"/>
      <c r="J332" s="35"/>
      <c r="K332" s="35"/>
      <c r="L332" s="64"/>
      <c r="M332" s="35"/>
    </row>
    <row r="333" customFormat="false" ht="15" hidden="false" customHeight="false" outlineLevel="0" collapsed="false">
      <c r="A333" s="59"/>
      <c r="B333" s="35"/>
      <c r="C333" s="35"/>
      <c r="D333" s="35"/>
      <c r="E333" s="35"/>
      <c r="F333" s="35"/>
      <c r="G333" s="64"/>
      <c r="H333" s="35"/>
      <c r="I333" s="35"/>
      <c r="J333" s="35"/>
      <c r="K333" s="35"/>
      <c r="L333" s="64"/>
      <c r="M333" s="35"/>
    </row>
    <row r="334" customFormat="false" ht="15" hidden="false" customHeight="false" outlineLevel="0" collapsed="false">
      <c r="A334" s="59"/>
      <c r="B334" s="35"/>
      <c r="C334" s="35"/>
      <c r="D334" s="35"/>
      <c r="E334" s="35"/>
      <c r="F334" s="35"/>
      <c r="G334" s="64"/>
      <c r="H334" s="35"/>
      <c r="I334" s="35"/>
      <c r="J334" s="35"/>
      <c r="K334" s="35"/>
      <c r="L334" s="64"/>
      <c r="M334" s="35"/>
    </row>
    <row r="335" customFormat="false" ht="15" hidden="false" customHeight="false" outlineLevel="0" collapsed="false">
      <c r="A335" s="59"/>
      <c r="B335" s="35"/>
      <c r="C335" s="35"/>
      <c r="D335" s="35"/>
      <c r="E335" s="35"/>
      <c r="F335" s="35"/>
      <c r="G335" s="64"/>
      <c r="H335" s="35"/>
      <c r="I335" s="35"/>
      <c r="J335" s="35"/>
      <c r="K335" s="35"/>
      <c r="L335" s="64"/>
      <c r="M335" s="35"/>
    </row>
    <row r="336" customFormat="false" ht="15" hidden="false" customHeight="false" outlineLevel="0" collapsed="false">
      <c r="A336" s="59"/>
      <c r="B336" s="35"/>
      <c r="C336" s="35"/>
      <c r="D336" s="35"/>
      <c r="E336" s="35"/>
      <c r="F336" s="35"/>
      <c r="G336" s="64"/>
      <c r="H336" s="35"/>
      <c r="I336" s="35"/>
      <c r="J336" s="35"/>
      <c r="K336" s="35"/>
      <c r="L336" s="64"/>
      <c r="M336" s="35"/>
    </row>
    <row r="337" customFormat="false" ht="15" hidden="false" customHeight="false" outlineLevel="0" collapsed="false">
      <c r="A337" s="59"/>
      <c r="B337" s="35"/>
      <c r="C337" s="35"/>
      <c r="D337" s="35"/>
      <c r="E337" s="35"/>
      <c r="F337" s="35"/>
      <c r="G337" s="64"/>
      <c r="H337" s="35"/>
      <c r="I337" s="35"/>
      <c r="J337" s="35"/>
      <c r="K337" s="35"/>
      <c r="L337" s="64"/>
      <c r="M337" s="35"/>
    </row>
    <row r="338" customFormat="false" ht="15" hidden="false" customHeight="false" outlineLevel="0" collapsed="false">
      <c r="A338" s="59"/>
      <c r="B338" s="35"/>
      <c r="C338" s="35"/>
      <c r="D338" s="35"/>
      <c r="E338" s="35"/>
      <c r="F338" s="35"/>
      <c r="G338" s="64"/>
      <c r="H338" s="35"/>
      <c r="I338" s="35"/>
      <c r="J338" s="35"/>
      <c r="K338" s="35"/>
      <c r="L338" s="64"/>
      <c r="M338" s="35"/>
    </row>
    <row r="339" customFormat="false" ht="15" hidden="false" customHeight="false" outlineLevel="0" collapsed="false">
      <c r="A339" s="59"/>
      <c r="B339" s="35"/>
      <c r="C339" s="35"/>
      <c r="D339" s="35"/>
      <c r="E339" s="35"/>
      <c r="F339" s="35"/>
      <c r="G339" s="64"/>
      <c r="H339" s="35"/>
      <c r="I339" s="35"/>
      <c r="J339" s="35"/>
      <c r="K339" s="35"/>
      <c r="L339" s="64"/>
      <c r="M339" s="35"/>
    </row>
    <row r="340" customFormat="false" ht="15" hidden="false" customHeight="false" outlineLevel="0" collapsed="false">
      <c r="A340" s="59"/>
      <c r="B340" s="35"/>
      <c r="C340" s="35"/>
      <c r="D340" s="35"/>
      <c r="E340" s="35"/>
      <c r="F340" s="35"/>
      <c r="G340" s="64"/>
      <c r="H340" s="35"/>
      <c r="I340" s="35"/>
      <c r="J340" s="35"/>
      <c r="K340" s="35"/>
      <c r="L340" s="64"/>
      <c r="M340" s="35"/>
    </row>
    <row r="341" customFormat="false" ht="15" hidden="false" customHeight="false" outlineLevel="0" collapsed="false">
      <c r="A341" s="59"/>
      <c r="B341" s="35"/>
      <c r="C341" s="35"/>
      <c r="D341" s="35"/>
      <c r="E341" s="35"/>
      <c r="F341" s="35"/>
      <c r="G341" s="64"/>
      <c r="H341" s="35"/>
      <c r="I341" s="35"/>
      <c r="J341" s="35"/>
      <c r="K341" s="35"/>
      <c r="L341" s="64"/>
      <c r="M341" s="35"/>
    </row>
    <row r="342" customFormat="false" ht="15" hidden="false" customHeight="false" outlineLevel="0" collapsed="false">
      <c r="A342" s="59"/>
      <c r="B342" s="35"/>
      <c r="C342" s="35"/>
      <c r="D342" s="35"/>
      <c r="E342" s="35"/>
      <c r="F342" s="35"/>
      <c r="G342" s="64"/>
      <c r="H342" s="35"/>
      <c r="I342" s="35"/>
      <c r="J342" s="35"/>
      <c r="K342" s="35"/>
      <c r="L342" s="64"/>
      <c r="M342" s="35"/>
    </row>
    <row r="343" customFormat="false" ht="15" hidden="false" customHeight="false" outlineLevel="0" collapsed="false">
      <c r="A343" s="59"/>
      <c r="B343" s="35"/>
      <c r="C343" s="35"/>
      <c r="D343" s="35"/>
      <c r="E343" s="35"/>
      <c r="F343" s="35"/>
      <c r="G343" s="64"/>
      <c r="H343" s="35"/>
      <c r="I343" s="35"/>
      <c r="J343" s="35"/>
      <c r="K343" s="35"/>
      <c r="L343" s="64"/>
      <c r="M343" s="35"/>
    </row>
    <row r="344" customFormat="false" ht="15" hidden="false" customHeight="false" outlineLevel="0" collapsed="false">
      <c r="A344" s="59"/>
      <c r="B344" s="35"/>
      <c r="C344" s="35"/>
      <c r="D344" s="35"/>
      <c r="E344" s="35"/>
      <c r="F344" s="35"/>
      <c r="G344" s="64"/>
      <c r="H344" s="35"/>
      <c r="I344" s="35"/>
      <c r="J344" s="35"/>
      <c r="K344" s="35"/>
      <c r="L344" s="64"/>
      <c r="M344" s="35"/>
    </row>
    <row r="345" customFormat="false" ht="15" hidden="false" customHeight="false" outlineLevel="0" collapsed="false">
      <c r="A345" s="59"/>
      <c r="B345" s="35"/>
      <c r="C345" s="35"/>
      <c r="D345" s="35"/>
      <c r="E345" s="35"/>
      <c r="F345" s="35"/>
      <c r="G345" s="64"/>
      <c r="H345" s="35"/>
      <c r="I345" s="35"/>
      <c r="J345" s="35"/>
      <c r="K345" s="35"/>
      <c r="L345" s="64"/>
      <c r="M345" s="35"/>
    </row>
    <row r="346" customFormat="false" ht="15" hidden="false" customHeight="false" outlineLevel="0" collapsed="false">
      <c r="A346" s="59"/>
      <c r="B346" s="35"/>
      <c r="C346" s="35"/>
      <c r="D346" s="35"/>
      <c r="E346" s="35"/>
      <c r="F346" s="35"/>
      <c r="G346" s="64"/>
      <c r="H346" s="35"/>
      <c r="I346" s="35"/>
      <c r="J346" s="35"/>
      <c r="K346" s="35"/>
      <c r="L346" s="64"/>
      <c r="M346" s="35"/>
    </row>
    <row r="347" customFormat="false" ht="15" hidden="false" customHeight="false" outlineLevel="0" collapsed="false">
      <c r="A347" s="59"/>
      <c r="B347" s="35"/>
      <c r="C347" s="35"/>
      <c r="D347" s="35"/>
      <c r="E347" s="35"/>
      <c r="F347" s="35"/>
      <c r="G347" s="64"/>
      <c r="H347" s="35"/>
      <c r="I347" s="35"/>
      <c r="J347" s="35"/>
      <c r="K347" s="35"/>
      <c r="L347" s="64"/>
      <c r="M347" s="35"/>
    </row>
    <row r="348" customFormat="false" ht="15" hidden="false" customHeight="false" outlineLevel="0" collapsed="false">
      <c r="A348" s="59"/>
      <c r="B348" s="35"/>
      <c r="C348" s="35"/>
      <c r="D348" s="35"/>
      <c r="E348" s="35"/>
      <c r="F348" s="35"/>
      <c r="G348" s="64"/>
      <c r="H348" s="35"/>
      <c r="I348" s="35"/>
      <c r="J348" s="35"/>
      <c r="K348" s="35"/>
      <c r="L348" s="64"/>
      <c r="M348" s="35"/>
    </row>
    <row r="349" customFormat="false" ht="15" hidden="false" customHeight="false" outlineLevel="0" collapsed="false">
      <c r="A349" s="59"/>
      <c r="B349" s="35"/>
      <c r="C349" s="35"/>
      <c r="D349" s="35"/>
      <c r="E349" s="35"/>
      <c r="F349" s="35"/>
      <c r="G349" s="64"/>
      <c r="H349" s="35"/>
      <c r="I349" s="35"/>
      <c r="J349" s="35"/>
      <c r="K349" s="35"/>
      <c r="L349" s="64"/>
      <c r="M349" s="35"/>
    </row>
    <row r="350" customFormat="false" ht="15" hidden="false" customHeight="false" outlineLevel="0" collapsed="false">
      <c r="A350" s="59"/>
      <c r="B350" s="35"/>
      <c r="C350" s="35"/>
      <c r="D350" s="35"/>
      <c r="E350" s="35"/>
      <c r="F350" s="35"/>
      <c r="G350" s="64"/>
      <c r="H350" s="35"/>
      <c r="I350" s="35"/>
      <c r="J350" s="35"/>
      <c r="K350" s="35"/>
      <c r="L350" s="64"/>
      <c r="M350" s="35"/>
    </row>
    <row r="351" customFormat="false" ht="15" hidden="false" customHeight="false" outlineLevel="0" collapsed="false">
      <c r="A351" s="59"/>
      <c r="B351" s="35"/>
      <c r="C351" s="35"/>
      <c r="D351" s="35"/>
      <c r="E351" s="35"/>
      <c r="F351" s="35"/>
      <c r="G351" s="64"/>
      <c r="H351" s="35"/>
      <c r="I351" s="35"/>
      <c r="J351" s="35"/>
      <c r="K351" s="35"/>
      <c r="L351" s="64"/>
      <c r="M351" s="35"/>
    </row>
    <row r="352" customFormat="false" ht="15" hidden="false" customHeight="false" outlineLevel="0" collapsed="false">
      <c r="A352" s="59"/>
      <c r="B352" s="35"/>
      <c r="C352" s="35"/>
      <c r="D352" s="35"/>
      <c r="E352" s="35"/>
      <c r="F352" s="35"/>
      <c r="G352" s="64"/>
      <c r="H352" s="35"/>
      <c r="I352" s="35"/>
      <c r="J352" s="35"/>
      <c r="K352" s="35"/>
      <c r="L352" s="64"/>
      <c r="M352" s="35"/>
    </row>
    <row r="353" customFormat="false" ht="15" hidden="false" customHeight="false" outlineLevel="0" collapsed="false">
      <c r="A353" s="59"/>
      <c r="B353" s="35"/>
      <c r="C353" s="35"/>
      <c r="D353" s="35"/>
      <c r="E353" s="35"/>
      <c r="F353" s="35"/>
      <c r="G353" s="64"/>
      <c r="H353" s="35"/>
      <c r="I353" s="35"/>
      <c r="J353" s="35"/>
      <c r="K353" s="35"/>
      <c r="L353" s="64"/>
      <c r="M353" s="35"/>
    </row>
    <row r="354" customFormat="false" ht="15" hidden="false" customHeight="false" outlineLevel="0" collapsed="false">
      <c r="A354" s="59"/>
      <c r="B354" s="35"/>
      <c r="C354" s="35"/>
      <c r="D354" s="35"/>
      <c r="E354" s="35"/>
      <c r="F354" s="35"/>
      <c r="G354" s="64"/>
      <c r="H354" s="35"/>
      <c r="I354" s="35"/>
      <c r="J354" s="35"/>
      <c r="K354" s="35"/>
      <c r="L354" s="64"/>
      <c r="M354" s="35"/>
    </row>
    <row r="355" customFormat="false" ht="15" hidden="false" customHeight="false" outlineLevel="0" collapsed="false">
      <c r="A355" s="59"/>
      <c r="B355" s="35"/>
      <c r="C355" s="35"/>
      <c r="D355" s="35"/>
      <c r="E355" s="35"/>
      <c r="F355" s="35"/>
      <c r="G355" s="64"/>
      <c r="H355" s="35"/>
      <c r="I355" s="35"/>
      <c r="J355" s="35"/>
      <c r="K355" s="35"/>
      <c r="L355" s="64"/>
      <c r="M355" s="35"/>
    </row>
    <row r="356" customFormat="false" ht="15" hidden="false" customHeight="false" outlineLevel="0" collapsed="false">
      <c r="A356" s="59"/>
      <c r="B356" s="35"/>
      <c r="C356" s="35"/>
      <c r="D356" s="35"/>
      <c r="E356" s="35"/>
      <c r="F356" s="35"/>
      <c r="G356" s="64"/>
      <c r="H356" s="35"/>
      <c r="I356" s="35"/>
      <c r="J356" s="35"/>
      <c r="K356" s="35"/>
      <c r="L356" s="64"/>
      <c r="M356" s="35"/>
    </row>
    <row r="357" customFormat="false" ht="15" hidden="false" customHeight="false" outlineLevel="0" collapsed="false">
      <c r="A357" s="59"/>
      <c r="B357" s="35"/>
      <c r="C357" s="35"/>
      <c r="D357" s="35"/>
      <c r="E357" s="35"/>
      <c r="F357" s="35"/>
      <c r="G357" s="64"/>
      <c r="H357" s="35"/>
      <c r="I357" s="35"/>
      <c r="J357" s="35"/>
      <c r="K357" s="35"/>
      <c r="L357" s="64"/>
      <c r="M357" s="35"/>
    </row>
    <row r="358" customFormat="false" ht="15" hidden="false" customHeight="false" outlineLevel="0" collapsed="false">
      <c r="A358" s="59"/>
      <c r="B358" s="35"/>
      <c r="C358" s="35"/>
      <c r="D358" s="35"/>
      <c r="E358" s="35"/>
      <c r="F358" s="35"/>
      <c r="G358" s="64"/>
      <c r="H358" s="35"/>
      <c r="I358" s="35"/>
      <c r="J358" s="35"/>
      <c r="K358" s="35"/>
      <c r="L358" s="64"/>
      <c r="M358" s="35"/>
    </row>
    <row r="359" customFormat="false" ht="15" hidden="false" customHeight="false" outlineLevel="0" collapsed="false">
      <c r="A359" s="59"/>
      <c r="B359" s="35"/>
      <c r="C359" s="35"/>
      <c r="D359" s="35"/>
      <c r="E359" s="35"/>
      <c r="F359" s="35"/>
      <c r="G359" s="64"/>
      <c r="H359" s="35"/>
      <c r="I359" s="35"/>
      <c r="J359" s="35"/>
      <c r="K359" s="35"/>
      <c r="L359" s="64"/>
      <c r="M359" s="35"/>
    </row>
    <row r="360" customFormat="false" ht="15" hidden="false" customHeight="false" outlineLevel="0" collapsed="false">
      <c r="A360" s="59"/>
      <c r="B360" s="35"/>
      <c r="C360" s="35"/>
      <c r="D360" s="35"/>
      <c r="E360" s="35"/>
      <c r="F360" s="35"/>
      <c r="G360" s="64"/>
      <c r="H360" s="35"/>
      <c r="I360" s="35"/>
      <c r="J360" s="35"/>
      <c r="K360" s="35"/>
      <c r="L360" s="64"/>
      <c r="M360" s="35"/>
    </row>
    <row r="361" customFormat="false" ht="15" hidden="false" customHeight="false" outlineLevel="0" collapsed="false">
      <c r="A361" s="59"/>
      <c r="B361" s="35"/>
      <c r="C361" s="35"/>
      <c r="D361" s="35"/>
      <c r="E361" s="35"/>
      <c r="F361" s="35"/>
      <c r="G361" s="64"/>
      <c r="H361" s="35"/>
      <c r="I361" s="35"/>
      <c r="J361" s="35"/>
      <c r="K361" s="35"/>
      <c r="L361" s="64"/>
      <c r="M361" s="35"/>
    </row>
    <row r="362" customFormat="false" ht="15" hidden="false" customHeight="false" outlineLevel="0" collapsed="false">
      <c r="A362" s="59"/>
      <c r="B362" s="35"/>
      <c r="C362" s="35"/>
      <c r="D362" s="35"/>
      <c r="E362" s="35"/>
      <c r="F362" s="35"/>
      <c r="G362" s="64"/>
      <c r="H362" s="35"/>
      <c r="I362" s="35"/>
      <c r="J362" s="35"/>
      <c r="K362" s="35"/>
      <c r="L362" s="64"/>
      <c r="M362" s="35"/>
    </row>
    <row r="363" customFormat="false" ht="15" hidden="false" customHeight="false" outlineLevel="0" collapsed="false">
      <c r="A363" s="59"/>
      <c r="B363" s="35"/>
      <c r="C363" s="35"/>
      <c r="D363" s="35"/>
      <c r="E363" s="35"/>
      <c r="F363" s="35"/>
      <c r="G363" s="64"/>
      <c r="H363" s="35"/>
      <c r="I363" s="35"/>
      <c r="J363" s="35"/>
      <c r="K363" s="35"/>
      <c r="L363" s="64"/>
      <c r="M363" s="35"/>
    </row>
    <row r="364" customFormat="false" ht="15" hidden="false" customHeight="false" outlineLevel="0" collapsed="false">
      <c r="A364" s="59"/>
      <c r="B364" s="35"/>
      <c r="C364" s="35"/>
      <c r="D364" s="35"/>
      <c r="E364" s="35"/>
      <c r="F364" s="35"/>
      <c r="G364" s="64"/>
      <c r="H364" s="35"/>
      <c r="I364" s="35"/>
      <c r="J364" s="35"/>
      <c r="K364" s="35"/>
      <c r="L364" s="64"/>
      <c r="M364" s="35"/>
    </row>
    <row r="365" customFormat="false" ht="15" hidden="false" customHeight="false" outlineLevel="0" collapsed="false">
      <c r="A365" s="59"/>
      <c r="B365" s="35"/>
      <c r="C365" s="35"/>
      <c r="D365" s="35"/>
      <c r="E365" s="35"/>
      <c r="F365" s="35"/>
      <c r="G365" s="64"/>
      <c r="H365" s="35"/>
      <c r="I365" s="35"/>
      <c r="J365" s="35"/>
      <c r="K365" s="35"/>
      <c r="L365" s="64"/>
      <c r="M365" s="35"/>
    </row>
    <row r="366" customFormat="false" ht="15" hidden="false" customHeight="false" outlineLevel="0" collapsed="false">
      <c r="A366" s="59"/>
      <c r="B366" s="35"/>
      <c r="C366" s="35"/>
      <c r="D366" s="35"/>
      <c r="E366" s="35"/>
      <c r="F366" s="35"/>
      <c r="G366" s="64"/>
      <c r="H366" s="35"/>
      <c r="I366" s="35"/>
      <c r="J366" s="35"/>
      <c r="K366" s="35"/>
      <c r="L366" s="64"/>
      <c r="M366" s="35"/>
    </row>
    <row r="367" customFormat="false" ht="15" hidden="false" customHeight="false" outlineLevel="0" collapsed="false">
      <c r="A367" s="59"/>
      <c r="B367" s="35"/>
      <c r="C367" s="35"/>
      <c r="D367" s="35"/>
      <c r="E367" s="35"/>
      <c r="F367" s="35"/>
      <c r="G367" s="64"/>
      <c r="H367" s="35"/>
      <c r="I367" s="35"/>
      <c r="J367" s="35"/>
      <c r="K367" s="35"/>
      <c r="L367" s="64"/>
      <c r="M367" s="35"/>
    </row>
    <row r="368" customFormat="false" ht="15" hidden="false" customHeight="false" outlineLevel="0" collapsed="false">
      <c r="A368" s="59"/>
      <c r="B368" s="35"/>
      <c r="C368" s="35"/>
      <c r="D368" s="35"/>
      <c r="E368" s="35"/>
      <c r="F368" s="35"/>
      <c r="G368" s="64"/>
      <c r="H368" s="35"/>
      <c r="I368" s="35"/>
      <c r="J368" s="35"/>
      <c r="K368" s="35"/>
      <c r="L368" s="64"/>
      <c r="M368" s="35"/>
    </row>
    <row r="369" customFormat="false" ht="15" hidden="false" customHeight="false" outlineLevel="0" collapsed="false">
      <c r="A369" s="59"/>
      <c r="B369" s="35"/>
      <c r="C369" s="35"/>
      <c r="D369" s="35"/>
      <c r="E369" s="35"/>
      <c r="F369" s="35"/>
      <c r="G369" s="64"/>
      <c r="H369" s="35"/>
      <c r="I369" s="35"/>
      <c r="J369" s="35"/>
      <c r="K369" s="35"/>
      <c r="L369" s="64"/>
      <c r="M369" s="35"/>
    </row>
    <row r="370" customFormat="false" ht="15" hidden="false" customHeight="false" outlineLevel="0" collapsed="false">
      <c r="A370" s="59"/>
      <c r="B370" s="35"/>
      <c r="C370" s="35"/>
      <c r="D370" s="35"/>
      <c r="E370" s="35"/>
      <c r="F370" s="35"/>
      <c r="G370" s="64"/>
      <c r="H370" s="35"/>
      <c r="I370" s="35"/>
      <c r="J370" s="35"/>
      <c r="K370" s="35"/>
      <c r="L370" s="64"/>
      <c r="M370" s="35"/>
    </row>
    <row r="371" customFormat="false" ht="15" hidden="false" customHeight="false" outlineLevel="0" collapsed="false">
      <c r="A371" s="59"/>
      <c r="B371" s="35"/>
      <c r="C371" s="35"/>
      <c r="D371" s="35"/>
      <c r="E371" s="35"/>
      <c r="F371" s="35"/>
      <c r="G371" s="64"/>
      <c r="H371" s="35"/>
      <c r="I371" s="35"/>
      <c r="J371" s="35"/>
      <c r="K371" s="35"/>
      <c r="L371" s="64"/>
      <c r="M371" s="35"/>
    </row>
    <row r="372" customFormat="false" ht="15" hidden="false" customHeight="false" outlineLevel="0" collapsed="false">
      <c r="A372" s="59"/>
      <c r="B372" s="35"/>
      <c r="C372" s="35"/>
      <c r="D372" s="35"/>
      <c r="E372" s="35"/>
      <c r="F372" s="35"/>
      <c r="G372" s="64"/>
      <c r="H372" s="35"/>
      <c r="I372" s="35"/>
      <c r="J372" s="35"/>
      <c r="K372" s="35"/>
      <c r="L372" s="64"/>
      <c r="M372" s="35"/>
    </row>
    <row r="373" customFormat="false" ht="15" hidden="false" customHeight="false" outlineLevel="0" collapsed="false">
      <c r="A373" s="59"/>
      <c r="B373" s="35"/>
      <c r="C373" s="35"/>
      <c r="D373" s="35"/>
      <c r="E373" s="35"/>
      <c r="F373" s="35"/>
      <c r="G373" s="64"/>
      <c r="H373" s="35"/>
      <c r="I373" s="35"/>
      <c r="J373" s="35"/>
      <c r="K373" s="35"/>
      <c r="L373" s="64"/>
      <c r="M373" s="35"/>
    </row>
    <row r="374" customFormat="false" ht="15" hidden="false" customHeight="false" outlineLevel="0" collapsed="false">
      <c r="A374" s="59"/>
      <c r="B374" s="35"/>
      <c r="C374" s="35"/>
      <c r="D374" s="35"/>
      <c r="E374" s="35"/>
      <c r="F374" s="35"/>
      <c r="G374" s="64"/>
      <c r="H374" s="35"/>
      <c r="I374" s="35"/>
      <c r="J374" s="35"/>
      <c r="K374" s="35"/>
      <c r="L374" s="64"/>
      <c r="M374" s="35"/>
    </row>
    <row r="375" customFormat="false" ht="15" hidden="false" customHeight="false" outlineLevel="0" collapsed="false">
      <c r="A375" s="59"/>
      <c r="B375" s="35"/>
      <c r="C375" s="35"/>
      <c r="D375" s="35"/>
      <c r="E375" s="35"/>
      <c r="F375" s="35"/>
      <c r="G375" s="64"/>
      <c r="H375" s="35"/>
      <c r="I375" s="35"/>
      <c r="J375" s="35"/>
      <c r="K375" s="35"/>
      <c r="L375" s="64"/>
      <c r="M375" s="35"/>
    </row>
    <row r="376" customFormat="false" ht="15" hidden="false" customHeight="false" outlineLevel="0" collapsed="false">
      <c r="A376" s="59"/>
      <c r="B376" s="35"/>
      <c r="C376" s="35"/>
      <c r="D376" s="35"/>
      <c r="E376" s="35"/>
      <c r="F376" s="35"/>
      <c r="G376" s="64"/>
      <c r="H376" s="35"/>
      <c r="I376" s="35"/>
      <c r="J376" s="35"/>
      <c r="K376" s="35"/>
      <c r="L376" s="64"/>
      <c r="M376" s="35"/>
    </row>
    <row r="377" customFormat="false" ht="15" hidden="false" customHeight="false" outlineLevel="0" collapsed="false">
      <c r="A377" s="59"/>
      <c r="B377" s="35"/>
      <c r="C377" s="35"/>
      <c r="D377" s="35"/>
      <c r="E377" s="35"/>
      <c r="F377" s="35"/>
      <c r="G377" s="64"/>
      <c r="H377" s="35"/>
      <c r="I377" s="35"/>
      <c r="J377" s="35"/>
      <c r="K377" s="35"/>
      <c r="L377" s="64"/>
      <c r="M377" s="35"/>
    </row>
    <row r="378" customFormat="false" ht="15" hidden="false" customHeight="false" outlineLevel="0" collapsed="false">
      <c r="A378" s="59"/>
      <c r="B378" s="35"/>
      <c r="C378" s="35"/>
      <c r="D378" s="35"/>
      <c r="E378" s="35"/>
      <c r="F378" s="35"/>
      <c r="G378" s="64"/>
      <c r="H378" s="35"/>
      <c r="I378" s="35"/>
      <c r="J378" s="35"/>
      <c r="K378" s="35"/>
      <c r="L378" s="64"/>
      <c r="M378" s="35"/>
    </row>
    <row r="379" customFormat="false" ht="15" hidden="false" customHeight="false" outlineLevel="0" collapsed="false">
      <c r="A379" s="59"/>
      <c r="B379" s="35"/>
      <c r="C379" s="35"/>
      <c r="D379" s="35"/>
      <c r="E379" s="35"/>
      <c r="F379" s="35"/>
      <c r="G379" s="64"/>
      <c r="H379" s="35"/>
      <c r="I379" s="35"/>
      <c r="J379" s="35"/>
      <c r="K379" s="35"/>
      <c r="L379" s="64"/>
      <c r="M379" s="35"/>
    </row>
    <row r="380" customFormat="false" ht="15" hidden="false" customHeight="false" outlineLevel="0" collapsed="false">
      <c r="A380" s="59"/>
      <c r="B380" s="35"/>
      <c r="C380" s="35"/>
      <c r="D380" s="35"/>
      <c r="E380" s="35"/>
      <c r="F380" s="35"/>
      <c r="G380" s="64"/>
      <c r="H380" s="35"/>
      <c r="I380" s="35"/>
      <c r="J380" s="35"/>
      <c r="K380" s="35"/>
      <c r="L380" s="64"/>
      <c r="M380" s="35"/>
    </row>
    <row r="381" customFormat="false" ht="15" hidden="false" customHeight="false" outlineLevel="0" collapsed="false">
      <c r="A381" s="59"/>
      <c r="B381" s="35"/>
      <c r="C381" s="35"/>
      <c r="D381" s="35"/>
      <c r="E381" s="35"/>
      <c r="F381" s="35"/>
      <c r="G381" s="64"/>
      <c r="H381" s="35"/>
      <c r="I381" s="35"/>
      <c r="J381" s="35"/>
      <c r="K381" s="35"/>
      <c r="L381" s="64"/>
      <c r="M381" s="35"/>
    </row>
    <row r="382" customFormat="false" ht="15" hidden="false" customHeight="false" outlineLevel="0" collapsed="false">
      <c r="A382" s="59"/>
      <c r="B382" s="35"/>
      <c r="C382" s="35"/>
      <c r="D382" s="35"/>
      <c r="E382" s="35"/>
      <c r="F382" s="35"/>
      <c r="G382" s="64"/>
      <c r="H382" s="35"/>
      <c r="I382" s="35"/>
      <c r="J382" s="35"/>
      <c r="K382" s="35"/>
      <c r="L382" s="64"/>
      <c r="M382" s="35"/>
    </row>
    <row r="383" customFormat="false" ht="15" hidden="false" customHeight="false" outlineLevel="0" collapsed="false">
      <c r="A383" s="59"/>
      <c r="B383" s="35"/>
      <c r="C383" s="35"/>
      <c r="D383" s="35"/>
      <c r="E383" s="35"/>
      <c r="F383" s="35"/>
      <c r="G383" s="64"/>
      <c r="H383" s="35"/>
      <c r="I383" s="35"/>
      <c r="J383" s="35"/>
      <c r="K383" s="35"/>
      <c r="L383" s="64"/>
      <c r="M383" s="35"/>
    </row>
    <row r="384" customFormat="false" ht="15" hidden="false" customHeight="false" outlineLevel="0" collapsed="false">
      <c r="A384" s="59"/>
      <c r="B384" s="35"/>
      <c r="C384" s="35"/>
      <c r="D384" s="35"/>
      <c r="E384" s="35"/>
      <c r="F384" s="35"/>
      <c r="G384" s="64"/>
      <c r="H384" s="35"/>
      <c r="I384" s="35"/>
      <c r="J384" s="35"/>
      <c r="K384" s="35"/>
      <c r="L384" s="64"/>
      <c r="M384" s="35"/>
    </row>
    <row r="385" customFormat="false" ht="15" hidden="false" customHeight="false" outlineLevel="0" collapsed="false">
      <c r="A385" s="59"/>
      <c r="B385" s="35"/>
      <c r="C385" s="35"/>
      <c r="D385" s="35"/>
      <c r="E385" s="35"/>
      <c r="F385" s="35"/>
      <c r="G385" s="64"/>
      <c r="H385" s="35"/>
      <c r="I385" s="35"/>
      <c r="J385" s="35"/>
      <c r="K385" s="35"/>
      <c r="L385" s="64"/>
      <c r="M385" s="35"/>
    </row>
    <row r="386" customFormat="false" ht="15" hidden="false" customHeight="false" outlineLevel="0" collapsed="false">
      <c r="A386" s="59"/>
      <c r="B386" s="35"/>
      <c r="C386" s="35"/>
      <c r="D386" s="35"/>
      <c r="E386" s="35"/>
      <c r="F386" s="35"/>
      <c r="G386" s="64"/>
      <c r="H386" s="35"/>
      <c r="I386" s="35"/>
      <c r="J386" s="35"/>
      <c r="K386" s="35"/>
      <c r="L386" s="64"/>
      <c r="M386" s="35"/>
    </row>
    <row r="387" customFormat="false" ht="15" hidden="false" customHeight="false" outlineLevel="0" collapsed="false">
      <c r="A387" s="59"/>
      <c r="B387" s="35"/>
      <c r="C387" s="35"/>
      <c r="D387" s="35"/>
      <c r="E387" s="35"/>
      <c r="F387" s="35"/>
      <c r="G387" s="64"/>
      <c r="H387" s="35"/>
      <c r="I387" s="35"/>
      <c r="J387" s="35"/>
      <c r="K387" s="35"/>
      <c r="L387" s="64"/>
      <c r="M387" s="35"/>
    </row>
    <row r="388" customFormat="false" ht="15" hidden="false" customHeight="false" outlineLevel="0" collapsed="false">
      <c r="A388" s="59"/>
      <c r="B388" s="35"/>
      <c r="C388" s="35"/>
      <c r="D388" s="35"/>
      <c r="E388" s="35"/>
      <c r="F388" s="35"/>
      <c r="G388" s="64"/>
      <c r="H388" s="35"/>
      <c r="I388" s="35"/>
      <c r="J388" s="35"/>
      <c r="K388" s="35"/>
      <c r="L388" s="64"/>
      <c r="M388" s="35"/>
    </row>
    <row r="389" customFormat="false" ht="15" hidden="false" customHeight="false" outlineLevel="0" collapsed="false">
      <c r="A389" s="59"/>
      <c r="B389" s="35"/>
      <c r="C389" s="35"/>
      <c r="D389" s="35"/>
      <c r="E389" s="35"/>
      <c r="F389" s="35"/>
      <c r="G389" s="64"/>
      <c r="H389" s="35"/>
      <c r="I389" s="35"/>
      <c r="J389" s="35"/>
      <c r="K389" s="35"/>
      <c r="L389" s="64"/>
      <c r="M389" s="35"/>
    </row>
    <row r="390" customFormat="false" ht="15" hidden="false" customHeight="false" outlineLevel="0" collapsed="false">
      <c r="A390" s="59"/>
      <c r="B390" s="35"/>
      <c r="C390" s="35"/>
      <c r="D390" s="35"/>
      <c r="E390" s="35"/>
      <c r="F390" s="35"/>
      <c r="G390" s="64"/>
      <c r="H390" s="35"/>
      <c r="I390" s="35"/>
      <c r="J390" s="35"/>
      <c r="K390" s="35"/>
      <c r="L390" s="64"/>
      <c r="M390" s="35"/>
    </row>
    <row r="391" customFormat="false" ht="15" hidden="false" customHeight="false" outlineLevel="0" collapsed="false">
      <c r="A391" s="59"/>
      <c r="B391" s="35"/>
      <c r="C391" s="35"/>
      <c r="D391" s="35"/>
      <c r="E391" s="35"/>
      <c r="F391" s="35"/>
      <c r="G391" s="64"/>
      <c r="H391" s="35"/>
      <c r="I391" s="35"/>
      <c r="J391" s="35"/>
      <c r="K391" s="35"/>
      <c r="L391" s="64"/>
      <c r="M391" s="35"/>
    </row>
    <row r="392" customFormat="false" ht="15" hidden="false" customHeight="false" outlineLevel="0" collapsed="false">
      <c r="A392" s="59"/>
      <c r="B392" s="35"/>
      <c r="C392" s="35"/>
      <c r="D392" s="35"/>
      <c r="E392" s="35"/>
      <c r="F392" s="35"/>
      <c r="G392" s="64"/>
      <c r="H392" s="35"/>
      <c r="I392" s="35"/>
      <c r="J392" s="35"/>
      <c r="K392" s="35"/>
      <c r="L392" s="64"/>
      <c r="M392" s="35"/>
    </row>
    <row r="393" customFormat="false" ht="15" hidden="false" customHeight="false" outlineLevel="0" collapsed="false">
      <c r="A393" s="59"/>
      <c r="B393" s="35"/>
      <c r="C393" s="35"/>
      <c r="D393" s="35"/>
      <c r="E393" s="35"/>
      <c r="F393" s="35"/>
      <c r="G393" s="64"/>
      <c r="H393" s="35"/>
      <c r="I393" s="35"/>
      <c r="J393" s="35"/>
      <c r="K393" s="35"/>
      <c r="L393" s="64"/>
      <c r="M393" s="35"/>
    </row>
    <row r="394" customFormat="false" ht="15" hidden="false" customHeight="false" outlineLevel="0" collapsed="false">
      <c r="A394" s="59"/>
      <c r="B394" s="35"/>
      <c r="C394" s="35"/>
      <c r="D394" s="35"/>
      <c r="E394" s="35"/>
      <c r="F394" s="35"/>
      <c r="G394" s="64"/>
      <c r="H394" s="35"/>
      <c r="I394" s="35"/>
      <c r="J394" s="35"/>
      <c r="K394" s="35"/>
      <c r="L394" s="64"/>
      <c r="M394" s="35"/>
    </row>
    <row r="395" customFormat="false" ht="15" hidden="false" customHeight="false" outlineLevel="0" collapsed="false">
      <c r="A395" s="59"/>
      <c r="B395" s="35"/>
      <c r="C395" s="35"/>
      <c r="D395" s="35"/>
      <c r="E395" s="35"/>
      <c r="F395" s="35"/>
      <c r="G395" s="64"/>
      <c r="H395" s="35"/>
      <c r="I395" s="35"/>
      <c r="J395" s="35"/>
      <c r="K395" s="35"/>
      <c r="L395" s="64"/>
      <c r="M395" s="35"/>
    </row>
    <row r="396" customFormat="false" ht="15" hidden="false" customHeight="false" outlineLevel="0" collapsed="false">
      <c r="A396" s="59"/>
      <c r="B396" s="35"/>
      <c r="C396" s="35"/>
      <c r="D396" s="35"/>
      <c r="E396" s="35"/>
      <c r="F396" s="35"/>
      <c r="G396" s="64"/>
      <c r="H396" s="35"/>
      <c r="I396" s="35"/>
      <c r="J396" s="35"/>
      <c r="K396" s="35"/>
      <c r="L396" s="64"/>
      <c r="M396" s="35"/>
    </row>
    <row r="397" customFormat="false" ht="15" hidden="false" customHeight="false" outlineLevel="0" collapsed="false">
      <c r="A397" s="59"/>
      <c r="B397" s="35"/>
      <c r="C397" s="35"/>
      <c r="D397" s="35"/>
      <c r="E397" s="35"/>
      <c r="F397" s="35"/>
      <c r="G397" s="64"/>
      <c r="H397" s="35"/>
      <c r="I397" s="35"/>
      <c r="J397" s="35"/>
      <c r="K397" s="35"/>
      <c r="L397" s="64"/>
      <c r="M397" s="35"/>
    </row>
    <row r="398" customFormat="false" ht="15" hidden="false" customHeight="false" outlineLevel="0" collapsed="false">
      <c r="A398" s="59"/>
      <c r="B398" s="35"/>
      <c r="C398" s="35"/>
      <c r="D398" s="35"/>
      <c r="E398" s="35"/>
      <c r="F398" s="35"/>
      <c r="G398" s="64"/>
      <c r="H398" s="35"/>
      <c r="I398" s="35"/>
      <c r="J398" s="35"/>
      <c r="K398" s="35"/>
      <c r="L398" s="64"/>
      <c r="M398" s="35"/>
    </row>
    <row r="399" customFormat="false" ht="15" hidden="false" customHeight="false" outlineLevel="0" collapsed="false">
      <c r="A399" s="59"/>
      <c r="B399" s="35"/>
      <c r="C399" s="35"/>
      <c r="D399" s="35"/>
      <c r="E399" s="35"/>
      <c r="F399" s="35"/>
      <c r="G399" s="64"/>
      <c r="H399" s="35"/>
      <c r="I399" s="35"/>
      <c r="J399" s="35"/>
      <c r="K399" s="35"/>
      <c r="L399" s="64"/>
      <c r="M399" s="35"/>
    </row>
    <row r="400" customFormat="false" ht="15" hidden="false" customHeight="false" outlineLevel="0" collapsed="false">
      <c r="A400" s="59"/>
      <c r="B400" s="35"/>
      <c r="C400" s="35"/>
      <c r="D400" s="35"/>
      <c r="E400" s="35"/>
      <c r="F400" s="35"/>
      <c r="G400" s="64"/>
      <c r="H400" s="35"/>
      <c r="I400" s="35"/>
      <c r="J400" s="35"/>
      <c r="K400" s="35"/>
      <c r="L400" s="64"/>
      <c r="M400" s="35"/>
    </row>
    <row r="401" customFormat="false" ht="15" hidden="false" customHeight="false" outlineLevel="0" collapsed="false">
      <c r="A401" s="59"/>
      <c r="B401" s="35"/>
      <c r="C401" s="35"/>
      <c r="D401" s="35"/>
      <c r="E401" s="35"/>
      <c r="F401" s="35"/>
      <c r="G401" s="64"/>
      <c r="H401" s="35"/>
      <c r="I401" s="35"/>
      <c r="J401" s="35"/>
      <c r="K401" s="35"/>
      <c r="L401" s="64"/>
      <c r="M401" s="35"/>
    </row>
    <row r="402" customFormat="false" ht="15" hidden="false" customHeight="false" outlineLevel="0" collapsed="false">
      <c r="A402" s="59"/>
      <c r="B402" s="35"/>
      <c r="C402" s="35"/>
      <c r="D402" s="35"/>
      <c r="E402" s="35"/>
      <c r="F402" s="35"/>
      <c r="G402" s="64"/>
      <c r="H402" s="35"/>
      <c r="I402" s="35"/>
      <c r="J402" s="35"/>
      <c r="K402" s="35"/>
      <c r="L402" s="64"/>
      <c r="M402" s="35"/>
    </row>
    <row r="403" customFormat="false" ht="15" hidden="false" customHeight="false" outlineLevel="0" collapsed="false">
      <c r="A403" s="59"/>
      <c r="B403" s="35"/>
      <c r="C403" s="35"/>
      <c r="D403" s="35"/>
      <c r="E403" s="35"/>
      <c r="F403" s="35"/>
      <c r="G403" s="64"/>
      <c r="H403" s="35"/>
      <c r="I403" s="35"/>
      <c r="J403" s="35"/>
      <c r="K403" s="35"/>
      <c r="L403" s="64"/>
      <c r="M403" s="35"/>
    </row>
    <row r="404" customFormat="false" ht="15" hidden="false" customHeight="false" outlineLevel="0" collapsed="false">
      <c r="A404" s="59"/>
      <c r="B404" s="35"/>
      <c r="C404" s="35"/>
      <c r="D404" s="35"/>
      <c r="E404" s="35"/>
      <c r="F404" s="35"/>
      <c r="G404" s="64"/>
      <c r="H404" s="35"/>
      <c r="I404" s="35"/>
      <c r="J404" s="35"/>
      <c r="K404" s="35"/>
      <c r="L404" s="64"/>
      <c r="M404" s="35"/>
    </row>
    <row r="405" customFormat="false" ht="15" hidden="false" customHeight="false" outlineLevel="0" collapsed="false">
      <c r="A405" s="59"/>
      <c r="B405" s="35"/>
      <c r="C405" s="35"/>
      <c r="D405" s="35"/>
      <c r="E405" s="35"/>
      <c r="F405" s="35"/>
      <c r="G405" s="64"/>
      <c r="H405" s="35"/>
      <c r="I405" s="35"/>
      <c r="J405" s="35"/>
      <c r="K405" s="35"/>
      <c r="L405" s="64"/>
      <c r="M405" s="35"/>
    </row>
    <row r="406" customFormat="false" ht="15" hidden="false" customHeight="false" outlineLevel="0" collapsed="false">
      <c r="A406" s="59"/>
      <c r="B406" s="35"/>
      <c r="C406" s="35"/>
      <c r="D406" s="35"/>
      <c r="E406" s="35"/>
      <c r="F406" s="35"/>
      <c r="G406" s="64"/>
      <c r="H406" s="35"/>
      <c r="I406" s="35"/>
      <c r="J406" s="35"/>
      <c r="K406" s="35"/>
      <c r="L406" s="64"/>
      <c r="M406" s="35"/>
    </row>
    <row r="407" customFormat="false" ht="15" hidden="false" customHeight="false" outlineLevel="0" collapsed="false">
      <c r="A407" s="59"/>
      <c r="B407" s="35"/>
      <c r="C407" s="35"/>
      <c r="D407" s="35"/>
      <c r="E407" s="35"/>
      <c r="F407" s="35"/>
      <c r="G407" s="64"/>
      <c r="H407" s="35"/>
      <c r="I407" s="35"/>
      <c r="J407" s="35"/>
      <c r="K407" s="35"/>
      <c r="L407" s="64"/>
      <c r="M407" s="35"/>
    </row>
    <row r="408" customFormat="false" ht="15" hidden="false" customHeight="false" outlineLevel="0" collapsed="false">
      <c r="A408" s="59"/>
      <c r="B408" s="35"/>
      <c r="C408" s="35"/>
      <c r="D408" s="35"/>
      <c r="E408" s="35"/>
      <c r="F408" s="35"/>
      <c r="G408" s="64"/>
      <c r="H408" s="35"/>
      <c r="I408" s="35"/>
      <c r="J408" s="35"/>
      <c r="K408" s="35"/>
      <c r="L408" s="64"/>
      <c r="M408" s="35"/>
    </row>
    <row r="409" customFormat="false" ht="15" hidden="false" customHeight="false" outlineLevel="0" collapsed="false">
      <c r="A409" s="59"/>
      <c r="B409" s="35"/>
      <c r="C409" s="35"/>
      <c r="D409" s="35"/>
      <c r="E409" s="35"/>
      <c r="F409" s="35"/>
      <c r="G409" s="64"/>
      <c r="H409" s="35"/>
      <c r="I409" s="35"/>
      <c r="J409" s="35"/>
      <c r="K409" s="35"/>
      <c r="L409" s="64"/>
      <c r="M409" s="35"/>
    </row>
    <row r="410" customFormat="false" ht="15" hidden="false" customHeight="false" outlineLevel="0" collapsed="false">
      <c r="A410" s="59"/>
      <c r="B410" s="35"/>
      <c r="C410" s="35"/>
      <c r="D410" s="35"/>
      <c r="E410" s="35"/>
      <c r="F410" s="35"/>
      <c r="G410" s="64"/>
      <c r="H410" s="35"/>
      <c r="I410" s="35"/>
      <c r="J410" s="35"/>
      <c r="K410" s="35"/>
      <c r="L410" s="64"/>
      <c r="M410" s="35"/>
    </row>
    <row r="411" customFormat="false" ht="15" hidden="false" customHeight="false" outlineLevel="0" collapsed="false">
      <c r="A411" s="59"/>
      <c r="B411" s="35"/>
      <c r="C411" s="35"/>
      <c r="D411" s="35"/>
      <c r="E411" s="35"/>
      <c r="F411" s="35"/>
      <c r="G411" s="64"/>
      <c r="H411" s="35"/>
      <c r="I411" s="35"/>
      <c r="J411" s="35"/>
      <c r="K411" s="35"/>
      <c r="L411" s="64"/>
      <c r="M411" s="35"/>
    </row>
    <row r="412" customFormat="false" ht="15" hidden="false" customHeight="false" outlineLevel="0" collapsed="false">
      <c r="A412" s="59"/>
      <c r="B412" s="35"/>
      <c r="C412" s="35"/>
      <c r="D412" s="35"/>
      <c r="E412" s="35"/>
      <c r="F412" s="35"/>
      <c r="G412" s="64"/>
      <c r="H412" s="35"/>
      <c r="I412" s="35"/>
      <c r="J412" s="35"/>
      <c r="K412" s="35"/>
      <c r="L412" s="64"/>
      <c r="M412" s="35"/>
    </row>
    <row r="413" customFormat="false" ht="15" hidden="false" customHeight="false" outlineLevel="0" collapsed="false">
      <c r="A413" s="59"/>
      <c r="B413" s="35"/>
      <c r="C413" s="35"/>
      <c r="D413" s="35"/>
      <c r="E413" s="35"/>
      <c r="F413" s="35"/>
      <c r="G413" s="64"/>
      <c r="H413" s="35"/>
      <c r="I413" s="35"/>
      <c r="J413" s="35"/>
      <c r="K413" s="35"/>
      <c r="L413" s="64"/>
      <c r="M413" s="35"/>
    </row>
    <row r="414" customFormat="false" ht="15" hidden="false" customHeight="false" outlineLevel="0" collapsed="false">
      <c r="A414" s="59"/>
      <c r="B414" s="35"/>
      <c r="C414" s="35"/>
      <c r="D414" s="35"/>
      <c r="E414" s="35"/>
      <c r="F414" s="35"/>
      <c r="G414" s="64"/>
      <c r="H414" s="35"/>
      <c r="I414" s="35"/>
      <c r="J414" s="35"/>
      <c r="K414" s="35"/>
      <c r="L414" s="64"/>
      <c r="M414" s="35"/>
    </row>
    <row r="415" customFormat="false" ht="15" hidden="false" customHeight="false" outlineLevel="0" collapsed="false">
      <c r="A415" s="59"/>
      <c r="B415" s="35"/>
      <c r="C415" s="35"/>
      <c r="D415" s="35"/>
      <c r="E415" s="35"/>
      <c r="F415" s="35"/>
      <c r="G415" s="64"/>
      <c r="H415" s="35"/>
      <c r="I415" s="35"/>
      <c r="J415" s="35"/>
      <c r="K415" s="35"/>
      <c r="L415" s="64"/>
      <c r="M415" s="35"/>
    </row>
    <row r="416" customFormat="false" ht="15" hidden="false" customHeight="false" outlineLevel="0" collapsed="false">
      <c r="A416" s="59"/>
      <c r="B416" s="35"/>
      <c r="C416" s="35"/>
      <c r="D416" s="35"/>
      <c r="E416" s="35"/>
      <c r="F416" s="35"/>
      <c r="G416" s="64"/>
      <c r="H416" s="35"/>
      <c r="I416" s="35"/>
      <c r="J416" s="35"/>
      <c r="K416" s="35"/>
      <c r="L416" s="64"/>
      <c r="M416" s="35"/>
    </row>
    <row r="417" customFormat="false" ht="15" hidden="false" customHeight="false" outlineLevel="0" collapsed="false">
      <c r="A417" s="59"/>
      <c r="B417" s="35"/>
      <c r="C417" s="35"/>
      <c r="D417" s="35"/>
      <c r="E417" s="35"/>
      <c r="F417" s="35"/>
      <c r="G417" s="64"/>
      <c r="H417" s="35"/>
      <c r="I417" s="35"/>
      <c r="J417" s="35"/>
      <c r="K417" s="35"/>
      <c r="L417" s="64"/>
      <c r="M417" s="35"/>
    </row>
    <row r="418" customFormat="false" ht="15" hidden="false" customHeight="false" outlineLevel="0" collapsed="false">
      <c r="A418" s="59"/>
      <c r="B418" s="35"/>
      <c r="C418" s="35"/>
      <c r="D418" s="35"/>
      <c r="E418" s="35"/>
      <c r="F418" s="35"/>
      <c r="G418" s="64"/>
      <c r="H418" s="35"/>
      <c r="I418" s="35"/>
      <c r="J418" s="35"/>
      <c r="K418" s="35"/>
      <c r="L418" s="64"/>
      <c r="M418" s="35"/>
    </row>
    <row r="419" customFormat="false" ht="15" hidden="false" customHeight="false" outlineLevel="0" collapsed="false">
      <c r="A419" s="59"/>
      <c r="B419" s="35"/>
      <c r="C419" s="35"/>
      <c r="D419" s="35"/>
      <c r="E419" s="35"/>
      <c r="F419" s="35"/>
      <c r="G419" s="64"/>
      <c r="H419" s="35"/>
      <c r="I419" s="35"/>
      <c r="J419" s="35"/>
      <c r="K419" s="35"/>
      <c r="L419" s="64"/>
      <c r="M419" s="35"/>
    </row>
    <row r="420" customFormat="false" ht="15" hidden="false" customHeight="false" outlineLevel="0" collapsed="false">
      <c r="A420" s="59"/>
      <c r="B420" s="35"/>
      <c r="C420" s="35"/>
      <c r="D420" s="35"/>
      <c r="E420" s="35"/>
      <c r="F420" s="35"/>
      <c r="G420" s="64"/>
      <c r="H420" s="35"/>
      <c r="I420" s="35"/>
      <c r="J420" s="35"/>
      <c r="K420" s="35"/>
      <c r="L420" s="64"/>
      <c r="M420" s="35"/>
    </row>
    <row r="421" customFormat="false" ht="15" hidden="false" customHeight="false" outlineLevel="0" collapsed="false">
      <c r="A421" s="59"/>
      <c r="B421" s="35"/>
      <c r="C421" s="35"/>
      <c r="D421" s="35"/>
      <c r="E421" s="35"/>
      <c r="F421" s="35"/>
      <c r="G421" s="64"/>
      <c r="H421" s="35"/>
      <c r="I421" s="35"/>
      <c r="J421" s="35"/>
      <c r="K421" s="35"/>
      <c r="L421" s="64"/>
      <c r="M421" s="35"/>
    </row>
    <row r="422" customFormat="false" ht="15" hidden="false" customHeight="false" outlineLevel="0" collapsed="false">
      <c r="A422" s="59"/>
      <c r="B422" s="35"/>
      <c r="C422" s="35"/>
      <c r="D422" s="35"/>
      <c r="E422" s="35"/>
      <c r="F422" s="35"/>
      <c r="G422" s="64"/>
      <c r="H422" s="35"/>
      <c r="I422" s="35"/>
      <c r="J422" s="35"/>
      <c r="K422" s="35"/>
      <c r="L422" s="64"/>
      <c r="M422" s="35"/>
    </row>
    <row r="423" customFormat="false" ht="15" hidden="false" customHeight="false" outlineLevel="0" collapsed="false">
      <c r="A423" s="59"/>
      <c r="B423" s="35"/>
      <c r="C423" s="35"/>
      <c r="D423" s="35"/>
      <c r="E423" s="35"/>
      <c r="F423" s="35"/>
      <c r="G423" s="64"/>
      <c r="H423" s="35"/>
      <c r="I423" s="35"/>
      <c r="J423" s="35"/>
      <c r="K423" s="35"/>
      <c r="L423" s="64"/>
      <c r="M423" s="35"/>
    </row>
    <row r="424" customFormat="false" ht="15" hidden="false" customHeight="false" outlineLevel="0" collapsed="false">
      <c r="A424" s="59"/>
      <c r="B424" s="35"/>
      <c r="C424" s="35"/>
      <c r="D424" s="35"/>
      <c r="E424" s="35"/>
      <c r="F424" s="35"/>
      <c r="G424" s="64"/>
      <c r="H424" s="35"/>
      <c r="I424" s="35"/>
      <c r="J424" s="35"/>
      <c r="K424" s="35"/>
      <c r="L424" s="64"/>
      <c r="M424" s="35"/>
    </row>
    <row r="425" customFormat="false" ht="15" hidden="false" customHeight="false" outlineLevel="0" collapsed="false">
      <c r="A425" s="59"/>
      <c r="B425" s="35"/>
      <c r="C425" s="35"/>
      <c r="D425" s="35"/>
      <c r="E425" s="35"/>
      <c r="F425" s="35"/>
      <c r="G425" s="64"/>
      <c r="H425" s="35"/>
      <c r="I425" s="35"/>
      <c r="J425" s="35"/>
      <c r="K425" s="35"/>
      <c r="L425" s="64"/>
      <c r="M425" s="35"/>
    </row>
    <row r="426" customFormat="false" ht="15" hidden="false" customHeight="false" outlineLevel="0" collapsed="false">
      <c r="A426" s="59"/>
      <c r="B426" s="35"/>
      <c r="C426" s="35"/>
      <c r="D426" s="35"/>
      <c r="E426" s="35"/>
      <c r="F426" s="35"/>
      <c r="G426" s="64"/>
      <c r="H426" s="35"/>
      <c r="I426" s="35"/>
      <c r="J426" s="35"/>
      <c r="K426" s="35"/>
      <c r="L426" s="64"/>
      <c r="M426" s="35"/>
    </row>
    <row r="427" customFormat="false" ht="15" hidden="false" customHeight="false" outlineLevel="0" collapsed="false">
      <c r="A427" s="59"/>
      <c r="B427" s="35"/>
      <c r="C427" s="35"/>
      <c r="D427" s="35"/>
      <c r="E427" s="35"/>
      <c r="F427" s="35"/>
      <c r="G427" s="64"/>
      <c r="H427" s="35"/>
      <c r="I427" s="35"/>
      <c r="J427" s="35"/>
      <c r="K427" s="35"/>
      <c r="L427" s="64"/>
      <c r="M427" s="35"/>
    </row>
    <row r="428" customFormat="false" ht="15" hidden="false" customHeight="false" outlineLevel="0" collapsed="false">
      <c r="A428" s="59"/>
      <c r="B428" s="35"/>
      <c r="C428" s="35"/>
      <c r="D428" s="35"/>
      <c r="E428" s="35"/>
      <c r="F428" s="35"/>
      <c r="G428" s="64"/>
      <c r="H428" s="35"/>
      <c r="I428" s="35"/>
      <c r="J428" s="35"/>
      <c r="K428" s="35"/>
      <c r="L428" s="64"/>
      <c r="M428" s="35"/>
    </row>
    <row r="429" customFormat="false" ht="15" hidden="false" customHeight="false" outlineLevel="0" collapsed="false">
      <c r="A429" s="59"/>
      <c r="B429" s="35"/>
      <c r="C429" s="35"/>
      <c r="D429" s="35"/>
      <c r="E429" s="35"/>
      <c r="F429" s="35"/>
      <c r="G429" s="64"/>
      <c r="H429" s="35"/>
      <c r="I429" s="35"/>
      <c r="J429" s="35"/>
      <c r="K429" s="35"/>
      <c r="L429" s="64"/>
      <c r="M429" s="35"/>
    </row>
    <row r="430" customFormat="false" ht="15" hidden="false" customHeight="false" outlineLevel="0" collapsed="false">
      <c r="A430" s="59"/>
      <c r="B430" s="35"/>
      <c r="C430" s="35"/>
      <c r="D430" s="35"/>
      <c r="E430" s="35"/>
      <c r="F430" s="35"/>
      <c r="G430" s="64"/>
      <c r="H430" s="35"/>
      <c r="I430" s="35"/>
      <c r="J430" s="35"/>
      <c r="K430" s="35"/>
      <c r="L430" s="64"/>
      <c r="M430" s="35"/>
    </row>
    <row r="431" customFormat="false" ht="15" hidden="false" customHeight="false" outlineLevel="0" collapsed="false">
      <c r="A431" s="59"/>
      <c r="B431" s="35"/>
      <c r="C431" s="35"/>
      <c r="D431" s="35"/>
      <c r="E431" s="35"/>
      <c r="F431" s="35"/>
      <c r="G431" s="64"/>
      <c r="H431" s="35"/>
      <c r="I431" s="35"/>
      <c r="J431" s="35"/>
      <c r="K431" s="35"/>
      <c r="L431" s="64"/>
      <c r="M431" s="35"/>
    </row>
    <row r="432" customFormat="false" ht="15" hidden="false" customHeight="false" outlineLevel="0" collapsed="false">
      <c r="A432" s="59"/>
      <c r="B432" s="35"/>
      <c r="C432" s="35"/>
      <c r="D432" s="35"/>
      <c r="E432" s="35"/>
      <c r="F432" s="35"/>
      <c r="G432" s="64"/>
      <c r="H432" s="35"/>
      <c r="I432" s="35"/>
      <c r="J432" s="35"/>
      <c r="K432" s="35"/>
      <c r="L432" s="64"/>
      <c r="M432" s="35"/>
    </row>
    <row r="433" customFormat="false" ht="15" hidden="false" customHeight="false" outlineLevel="0" collapsed="false">
      <c r="A433" s="59"/>
      <c r="B433" s="35"/>
      <c r="C433" s="35"/>
      <c r="D433" s="35"/>
      <c r="E433" s="35"/>
      <c r="F433" s="35"/>
      <c r="G433" s="64"/>
      <c r="H433" s="35"/>
      <c r="I433" s="35"/>
      <c r="J433" s="35"/>
      <c r="K433" s="35"/>
      <c r="L433" s="64"/>
      <c r="M433" s="35"/>
    </row>
    <row r="434" customFormat="false" ht="15" hidden="false" customHeight="false" outlineLevel="0" collapsed="false">
      <c r="A434" s="59"/>
      <c r="B434" s="35"/>
      <c r="C434" s="35"/>
      <c r="D434" s="35"/>
      <c r="E434" s="35"/>
      <c r="F434" s="35"/>
      <c r="G434" s="64"/>
      <c r="H434" s="35"/>
      <c r="I434" s="35"/>
      <c r="J434" s="35"/>
      <c r="K434" s="35"/>
      <c r="L434" s="64"/>
      <c r="M434" s="35"/>
    </row>
    <row r="435" customFormat="false" ht="15" hidden="false" customHeight="false" outlineLevel="0" collapsed="false">
      <c r="A435" s="59"/>
      <c r="B435" s="35"/>
      <c r="C435" s="35"/>
      <c r="D435" s="35"/>
      <c r="E435" s="35"/>
      <c r="F435" s="35"/>
      <c r="G435" s="64"/>
      <c r="H435" s="35"/>
      <c r="I435" s="35"/>
      <c r="J435" s="35"/>
      <c r="K435" s="35"/>
      <c r="L435" s="64"/>
      <c r="M435" s="35"/>
    </row>
    <row r="436" customFormat="false" ht="15" hidden="false" customHeight="false" outlineLevel="0" collapsed="false">
      <c r="A436" s="59"/>
      <c r="B436" s="35"/>
      <c r="C436" s="35"/>
      <c r="D436" s="35"/>
      <c r="E436" s="35"/>
      <c r="F436" s="35"/>
      <c r="G436" s="64"/>
      <c r="H436" s="35"/>
      <c r="I436" s="35"/>
      <c r="J436" s="35"/>
      <c r="K436" s="35"/>
      <c r="L436" s="64"/>
      <c r="M436" s="35"/>
    </row>
    <row r="437" customFormat="false" ht="15" hidden="false" customHeight="false" outlineLevel="0" collapsed="false">
      <c r="A437" s="59"/>
      <c r="B437" s="35"/>
      <c r="C437" s="35"/>
      <c r="D437" s="35"/>
      <c r="E437" s="35"/>
      <c r="F437" s="35"/>
      <c r="G437" s="64"/>
      <c r="H437" s="35"/>
      <c r="I437" s="35"/>
      <c r="J437" s="35"/>
      <c r="K437" s="35"/>
      <c r="L437" s="64"/>
      <c r="M437" s="35"/>
    </row>
    <row r="438" customFormat="false" ht="15" hidden="false" customHeight="false" outlineLevel="0" collapsed="false">
      <c r="A438" s="59"/>
      <c r="B438" s="35"/>
      <c r="C438" s="35"/>
      <c r="D438" s="35"/>
      <c r="E438" s="35"/>
      <c r="F438" s="35"/>
      <c r="G438" s="64"/>
      <c r="H438" s="35"/>
      <c r="I438" s="35"/>
      <c r="J438" s="35"/>
      <c r="K438" s="35"/>
      <c r="L438" s="64"/>
      <c r="M438" s="35"/>
    </row>
    <row r="439" customFormat="false" ht="15" hidden="false" customHeight="false" outlineLevel="0" collapsed="false">
      <c r="A439" s="59"/>
      <c r="B439" s="35"/>
      <c r="C439" s="35"/>
      <c r="D439" s="35"/>
      <c r="E439" s="35"/>
      <c r="F439" s="35"/>
      <c r="G439" s="64"/>
      <c r="H439" s="35"/>
      <c r="I439" s="35"/>
      <c r="J439" s="35"/>
      <c r="K439" s="35"/>
      <c r="L439" s="64"/>
      <c r="M439" s="35"/>
    </row>
    <row r="440" customFormat="false" ht="15" hidden="false" customHeight="false" outlineLevel="0" collapsed="false">
      <c r="A440" s="59"/>
      <c r="B440" s="35"/>
      <c r="C440" s="35"/>
      <c r="D440" s="35"/>
      <c r="E440" s="35"/>
      <c r="F440" s="35"/>
      <c r="G440" s="64"/>
      <c r="H440" s="35"/>
      <c r="I440" s="35"/>
      <c r="J440" s="35"/>
      <c r="K440" s="35"/>
      <c r="L440" s="64"/>
      <c r="M440" s="35"/>
    </row>
    <row r="441" customFormat="false" ht="15" hidden="false" customHeight="false" outlineLevel="0" collapsed="false">
      <c r="A441" s="59"/>
      <c r="B441" s="35"/>
      <c r="C441" s="35"/>
      <c r="D441" s="35"/>
      <c r="E441" s="35"/>
      <c r="F441" s="35"/>
      <c r="G441" s="64"/>
      <c r="H441" s="35"/>
      <c r="I441" s="35"/>
      <c r="J441" s="35"/>
      <c r="K441" s="35"/>
      <c r="L441" s="64"/>
      <c r="M441" s="35"/>
    </row>
    <row r="442" customFormat="false" ht="15" hidden="false" customHeight="false" outlineLevel="0" collapsed="false">
      <c r="A442" s="59"/>
      <c r="B442" s="35"/>
      <c r="C442" s="35"/>
      <c r="D442" s="35"/>
      <c r="E442" s="35"/>
      <c r="F442" s="35"/>
      <c r="G442" s="64"/>
      <c r="H442" s="35"/>
      <c r="I442" s="35"/>
      <c r="J442" s="35"/>
      <c r="K442" s="35"/>
      <c r="L442" s="64"/>
      <c r="M442" s="35"/>
    </row>
    <row r="443" customFormat="false" ht="15" hidden="false" customHeight="false" outlineLevel="0" collapsed="false">
      <c r="A443" s="59"/>
      <c r="B443" s="35"/>
      <c r="C443" s="35"/>
      <c r="D443" s="35"/>
      <c r="E443" s="35"/>
      <c r="F443" s="35"/>
      <c r="G443" s="64"/>
      <c r="H443" s="35"/>
      <c r="I443" s="35"/>
      <c r="J443" s="35"/>
      <c r="K443" s="35"/>
      <c r="L443" s="64"/>
      <c r="M443" s="35"/>
    </row>
    <row r="444" customFormat="false" ht="15" hidden="false" customHeight="false" outlineLevel="0" collapsed="false">
      <c r="A444" s="59"/>
      <c r="B444" s="35"/>
      <c r="C444" s="35"/>
      <c r="D444" s="35"/>
      <c r="E444" s="35"/>
      <c r="F444" s="35"/>
      <c r="G444" s="64"/>
      <c r="H444" s="35"/>
      <c r="I444" s="35"/>
      <c r="J444" s="35"/>
      <c r="K444" s="35"/>
      <c r="L444" s="64"/>
      <c r="M444" s="35"/>
    </row>
    <row r="445" customFormat="false" ht="15" hidden="false" customHeight="false" outlineLevel="0" collapsed="false">
      <c r="A445" s="59"/>
      <c r="B445" s="35"/>
      <c r="C445" s="35"/>
      <c r="D445" s="35"/>
      <c r="E445" s="35"/>
      <c r="F445" s="35"/>
      <c r="G445" s="64"/>
      <c r="H445" s="35"/>
      <c r="I445" s="35"/>
      <c r="J445" s="35"/>
      <c r="K445" s="35"/>
      <c r="L445" s="64"/>
      <c r="M445" s="35"/>
    </row>
    <row r="446" customFormat="false" ht="15" hidden="false" customHeight="false" outlineLevel="0" collapsed="false">
      <c r="A446" s="59"/>
      <c r="B446" s="35"/>
      <c r="C446" s="35"/>
      <c r="D446" s="35"/>
      <c r="E446" s="35"/>
      <c r="F446" s="35"/>
      <c r="G446" s="64"/>
      <c r="H446" s="35"/>
      <c r="I446" s="35"/>
      <c r="J446" s="35"/>
      <c r="K446" s="35"/>
      <c r="L446" s="64"/>
      <c r="M446" s="35"/>
    </row>
    <row r="447" customFormat="false" ht="15" hidden="false" customHeight="false" outlineLevel="0" collapsed="false">
      <c r="A447" s="59"/>
      <c r="B447" s="35"/>
      <c r="C447" s="35"/>
      <c r="D447" s="35"/>
      <c r="E447" s="35"/>
      <c r="F447" s="35"/>
      <c r="G447" s="64"/>
      <c r="H447" s="35"/>
      <c r="I447" s="35"/>
      <c r="J447" s="35"/>
      <c r="K447" s="35"/>
      <c r="L447" s="64"/>
      <c r="M447" s="35"/>
    </row>
    <row r="448" customFormat="false" ht="15" hidden="false" customHeight="false" outlineLevel="0" collapsed="false">
      <c r="A448" s="59"/>
      <c r="B448" s="35"/>
      <c r="C448" s="35"/>
      <c r="D448" s="35"/>
      <c r="E448" s="35"/>
      <c r="F448" s="35"/>
      <c r="G448" s="64"/>
      <c r="H448" s="35"/>
      <c r="I448" s="35"/>
      <c r="J448" s="35"/>
      <c r="K448" s="35"/>
      <c r="L448" s="64"/>
      <c r="M448" s="35"/>
    </row>
    <row r="449" customFormat="false" ht="15" hidden="false" customHeight="false" outlineLevel="0" collapsed="false">
      <c r="A449" s="59"/>
      <c r="B449" s="35"/>
      <c r="C449" s="35"/>
      <c r="D449" s="35"/>
      <c r="E449" s="35"/>
      <c r="F449" s="35"/>
      <c r="G449" s="64"/>
      <c r="H449" s="35"/>
      <c r="I449" s="35"/>
      <c r="J449" s="35"/>
      <c r="K449" s="35"/>
      <c r="L449" s="64"/>
      <c r="M449" s="35"/>
    </row>
    <row r="450" customFormat="false" ht="15" hidden="false" customHeight="false" outlineLevel="0" collapsed="false">
      <c r="A450" s="59"/>
      <c r="B450" s="35"/>
      <c r="C450" s="35"/>
      <c r="D450" s="35"/>
      <c r="E450" s="35"/>
      <c r="F450" s="35"/>
      <c r="G450" s="64"/>
      <c r="H450" s="35"/>
      <c r="I450" s="35"/>
      <c r="J450" s="35"/>
      <c r="K450" s="35"/>
      <c r="L450" s="64"/>
      <c r="M450" s="35"/>
    </row>
    <row r="451" customFormat="false" ht="15" hidden="false" customHeight="false" outlineLevel="0" collapsed="false">
      <c r="A451" s="59"/>
      <c r="B451" s="35"/>
      <c r="C451" s="35"/>
      <c r="D451" s="35"/>
      <c r="E451" s="35"/>
      <c r="F451" s="35"/>
      <c r="G451" s="64"/>
      <c r="H451" s="35"/>
      <c r="I451" s="35"/>
      <c r="J451" s="35"/>
      <c r="K451" s="35"/>
      <c r="L451" s="64"/>
      <c r="M451" s="35"/>
    </row>
    <row r="452" customFormat="false" ht="15" hidden="false" customHeight="false" outlineLevel="0" collapsed="false">
      <c r="A452" s="59"/>
      <c r="B452" s="35"/>
      <c r="C452" s="35"/>
      <c r="D452" s="35"/>
      <c r="E452" s="35"/>
      <c r="F452" s="35"/>
      <c r="G452" s="64"/>
      <c r="H452" s="35"/>
      <c r="I452" s="35"/>
      <c r="J452" s="35"/>
      <c r="K452" s="35"/>
      <c r="L452" s="64"/>
      <c r="M452" s="35"/>
    </row>
    <row r="453" customFormat="false" ht="15" hidden="false" customHeight="false" outlineLevel="0" collapsed="false">
      <c r="A453" s="59"/>
      <c r="B453" s="35"/>
      <c r="C453" s="35"/>
      <c r="D453" s="35"/>
      <c r="E453" s="35"/>
      <c r="F453" s="35"/>
      <c r="G453" s="64"/>
      <c r="H453" s="35"/>
      <c r="I453" s="35"/>
      <c r="J453" s="35"/>
      <c r="K453" s="35"/>
      <c r="L453" s="64"/>
      <c r="M453" s="35"/>
    </row>
    <row r="454" customFormat="false" ht="15" hidden="false" customHeight="false" outlineLevel="0" collapsed="false">
      <c r="A454" s="59"/>
      <c r="B454" s="35"/>
      <c r="C454" s="35"/>
      <c r="D454" s="35"/>
      <c r="E454" s="35"/>
      <c r="F454" s="35"/>
      <c r="G454" s="64"/>
      <c r="H454" s="35"/>
      <c r="I454" s="35"/>
      <c r="J454" s="35"/>
      <c r="K454" s="35"/>
      <c r="L454" s="64"/>
      <c r="M454" s="35"/>
    </row>
    <row r="455" customFormat="false" ht="15" hidden="false" customHeight="false" outlineLevel="0" collapsed="false">
      <c r="A455" s="59"/>
      <c r="B455" s="35"/>
      <c r="C455" s="35"/>
      <c r="D455" s="35"/>
      <c r="E455" s="35"/>
      <c r="F455" s="35"/>
      <c r="G455" s="64"/>
      <c r="H455" s="35"/>
      <c r="I455" s="35"/>
      <c r="J455" s="35"/>
      <c r="K455" s="35"/>
      <c r="L455" s="64"/>
      <c r="M455" s="35"/>
    </row>
    <row r="456" customFormat="false" ht="15" hidden="false" customHeight="false" outlineLevel="0" collapsed="false">
      <c r="A456" s="59"/>
      <c r="B456" s="35"/>
      <c r="C456" s="35"/>
      <c r="D456" s="35"/>
      <c r="E456" s="35"/>
      <c r="F456" s="35"/>
      <c r="G456" s="64"/>
      <c r="H456" s="35"/>
      <c r="I456" s="35"/>
      <c r="J456" s="35"/>
      <c r="K456" s="35"/>
      <c r="L456" s="64"/>
      <c r="M456" s="35"/>
    </row>
    <row r="457" customFormat="false" ht="15" hidden="false" customHeight="false" outlineLevel="0" collapsed="false">
      <c r="A457" s="59"/>
      <c r="B457" s="35"/>
      <c r="C457" s="35"/>
      <c r="D457" s="35"/>
      <c r="E457" s="35"/>
      <c r="F457" s="35"/>
      <c r="G457" s="64"/>
      <c r="H457" s="35"/>
      <c r="I457" s="35"/>
      <c r="J457" s="35"/>
      <c r="K457" s="35"/>
      <c r="L457" s="64"/>
      <c r="M457" s="35"/>
    </row>
    <row r="458" customFormat="false" ht="15" hidden="false" customHeight="false" outlineLevel="0" collapsed="false">
      <c r="A458" s="59"/>
      <c r="B458" s="35"/>
      <c r="C458" s="35"/>
      <c r="D458" s="35"/>
      <c r="E458" s="35"/>
      <c r="F458" s="35"/>
      <c r="G458" s="64"/>
      <c r="H458" s="35"/>
      <c r="I458" s="35"/>
      <c r="J458" s="35"/>
      <c r="K458" s="35"/>
      <c r="L458" s="64"/>
      <c r="M458" s="35"/>
    </row>
    <row r="459" customFormat="false" ht="15" hidden="false" customHeight="false" outlineLevel="0" collapsed="false">
      <c r="A459" s="59"/>
      <c r="B459" s="35"/>
      <c r="C459" s="35"/>
      <c r="D459" s="35"/>
      <c r="E459" s="35"/>
      <c r="F459" s="35"/>
      <c r="G459" s="64"/>
      <c r="H459" s="35"/>
      <c r="I459" s="35"/>
      <c r="J459" s="35"/>
      <c r="K459" s="35"/>
      <c r="L459" s="64"/>
      <c r="M459" s="35"/>
    </row>
    <row r="460" customFormat="false" ht="15" hidden="false" customHeight="false" outlineLevel="0" collapsed="false">
      <c r="A460" s="59"/>
      <c r="B460" s="35"/>
      <c r="C460" s="35"/>
      <c r="D460" s="35"/>
      <c r="E460" s="35"/>
      <c r="F460" s="35"/>
      <c r="G460" s="64"/>
      <c r="H460" s="35"/>
      <c r="I460" s="35"/>
      <c r="J460" s="35"/>
      <c r="K460" s="35"/>
      <c r="L460" s="64"/>
      <c r="M460" s="35"/>
    </row>
    <row r="461" customFormat="false" ht="15" hidden="false" customHeight="false" outlineLevel="0" collapsed="false">
      <c r="A461" s="59"/>
      <c r="B461" s="35"/>
      <c r="C461" s="35"/>
      <c r="D461" s="35"/>
      <c r="E461" s="35"/>
      <c r="F461" s="35"/>
      <c r="G461" s="64"/>
      <c r="H461" s="35"/>
      <c r="I461" s="35"/>
      <c r="J461" s="35"/>
      <c r="K461" s="35"/>
      <c r="L461" s="64"/>
      <c r="M461" s="35"/>
    </row>
    <row r="462" customFormat="false" ht="15" hidden="false" customHeight="false" outlineLevel="0" collapsed="false">
      <c r="A462" s="59"/>
      <c r="B462" s="35"/>
      <c r="C462" s="35"/>
      <c r="D462" s="35"/>
      <c r="E462" s="35"/>
      <c r="F462" s="35"/>
      <c r="G462" s="64"/>
      <c r="H462" s="35"/>
      <c r="I462" s="35"/>
      <c r="J462" s="35"/>
      <c r="K462" s="35"/>
      <c r="L462" s="64"/>
      <c r="M462" s="35"/>
    </row>
    <row r="463" customFormat="false" ht="15" hidden="false" customHeight="false" outlineLevel="0" collapsed="false">
      <c r="A463" s="59"/>
      <c r="B463" s="35"/>
      <c r="C463" s="35"/>
      <c r="D463" s="35"/>
      <c r="E463" s="35"/>
      <c r="F463" s="35"/>
      <c r="G463" s="64"/>
      <c r="H463" s="35"/>
      <c r="I463" s="35"/>
      <c r="J463" s="35"/>
      <c r="K463" s="35"/>
      <c r="L463" s="64"/>
      <c r="M463" s="35"/>
    </row>
    <row r="464" customFormat="false" ht="15" hidden="false" customHeight="false" outlineLevel="0" collapsed="false">
      <c r="A464" s="59"/>
      <c r="B464" s="35"/>
      <c r="C464" s="35"/>
      <c r="D464" s="35"/>
      <c r="E464" s="35"/>
      <c r="F464" s="35"/>
      <c r="G464" s="64"/>
      <c r="H464" s="35"/>
      <c r="I464" s="35"/>
      <c r="J464" s="35"/>
      <c r="K464" s="35"/>
      <c r="L464" s="64"/>
      <c r="M464" s="35"/>
    </row>
    <row r="465" customFormat="false" ht="15" hidden="false" customHeight="false" outlineLevel="0" collapsed="false">
      <c r="A465" s="59"/>
      <c r="B465" s="35"/>
      <c r="C465" s="35"/>
      <c r="D465" s="35"/>
      <c r="E465" s="35"/>
      <c r="F465" s="35"/>
      <c r="G465" s="64"/>
      <c r="H465" s="35"/>
      <c r="I465" s="35"/>
      <c r="J465" s="35"/>
      <c r="K465" s="35"/>
      <c r="L465" s="64"/>
      <c r="M465" s="35"/>
    </row>
    <row r="466" customFormat="false" ht="15" hidden="false" customHeight="false" outlineLevel="0" collapsed="false">
      <c r="A466" s="59"/>
      <c r="B466" s="35"/>
      <c r="C466" s="35"/>
      <c r="D466" s="35"/>
      <c r="E466" s="35"/>
      <c r="F466" s="35"/>
      <c r="G466" s="64"/>
      <c r="H466" s="35"/>
      <c r="I466" s="35"/>
      <c r="J466" s="35"/>
      <c r="K466" s="35"/>
      <c r="L466" s="64"/>
      <c r="M466" s="35"/>
    </row>
    <row r="467" customFormat="false" ht="15" hidden="false" customHeight="false" outlineLevel="0" collapsed="false">
      <c r="A467" s="59"/>
      <c r="B467" s="35"/>
      <c r="C467" s="35"/>
      <c r="D467" s="35"/>
      <c r="E467" s="35"/>
      <c r="F467" s="35"/>
      <c r="G467" s="64"/>
      <c r="H467" s="35"/>
      <c r="I467" s="35"/>
      <c r="J467" s="35"/>
      <c r="K467" s="35"/>
      <c r="L467" s="64"/>
      <c r="M467" s="35"/>
    </row>
    <row r="468" customFormat="false" ht="15" hidden="false" customHeight="false" outlineLevel="0" collapsed="false">
      <c r="A468" s="59"/>
      <c r="B468" s="35"/>
      <c r="C468" s="35"/>
      <c r="D468" s="35"/>
      <c r="E468" s="35"/>
      <c r="F468" s="35"/>
      <c r="G468" s="64"/>
      <c r="H468" s="35"/>
      <c r="I468" s="35"/>
      <c r="J468" s="35"/>
      <c r="K468" s="35"/>
      <c r="L468" s="64"/>
      <c r="M468" s="35"/>
    </row>
    <row r="469" customFormat="false" ht="15" hidden="false" customHeight="false" outlineLevel="0" collapsed="false">
      <c r="A469" s="59"/>
      <c r="B469" s="35"/>
      <c r="C469" s="35"/>
      <c r="D469" s="35"/>
      <c r="E469" s="35"/>
      <c r="F469" s="35"/>
      <c r="G469" s="64"/>
      <c r="H469" s="35"/>
      <c r="I469" s="35"/>
      <c r="J469" s="35"/>
      <c r="K469" s="35"/>
      <c r="L469" s="64"/>
      <c r="M469" s="35"/>
    </row>
    <row r="470" customFormat="false" ht="15" hidden="false" customHeight="false" outlineLevel="0" collapsed="false">
      <c r="A470" s="59"/>
      <c r="B470" s="35"/>
      <c r="C470" s="35"/>
      <c r="D470" s="35"/>
      <c r="E470" s="35"/>
      <c r="F470" s="35"/>
      <c r="G470" s="64"/>
      <c r="H470" s="35"/>
      <c r="I470" s="35"/>
      <c r="J470" s="35"/>
      <c r="K470" s="35"/>
      <c r="L470" s="64"/>
      <c r="M470" s="35"/>
    </row>
    <row r="471" customFormat="false" ht="15" hidden="false" customHeight="false" outlineLevel="0" collapsed="false">
      <c r="A471" s="59"/>
      <c r="B471" s="35"/>
      <c r="C471" s="35"/>
      <c r="D471" s="35"/>
      <c r="E471" s="35"/>
      <c r="F471" s="35"/>
      <c r="G471" s="64"/>
      <c r="H471" s="35"/>
      <c r="I471" s="35"/>
      <c r="J471" s="35"/>
      <c r="K471" s="35"/>
      <c r="L471" s="64"/>
      <c r="M471" s="35"/>
    </row>
    <row r="472" customFormat="false" ht="15" hidden="false" customHeight="false" outlineLevel="0" collapsed="false">
      <c r="A472" s="59"/>
      <c r="B472" s="35"/>
      <c r="C472" s="35"/>
      <c r="D472" s="35"/>
      <c r="E472" s="35"/>
      <c r="F472" s="35"/>
      <c r="G472" s="64"/>
      <c r="H472" s="35"/>
      <c r="I472" s="35"/>
      <c r="J472" s="35"/>
      <c r="K472" s="35"/>
      <c r="L472" s="64"/>
      <c r="M472" s="35"/>
    </row>
    <row r="473" customFormat="false" ht="15" hidden="false" customHeight="false" outlineLevel="0" collapsed="false">
      <c r="A473" s="59"/>
      <c r="B473" s="35"/>
      <c r="C473" s="35"/>
      <c r="D473" s="35"/>
      <c r="E473" s="35"/>
      <c r="F473" s="35"/>
      <c r="G473" s="64"/>
      <c r="H473" s="35"/>
      <c r="I473" s="35"/>
      <c r="J473" s="35"/>
      <c r="K473" s="35"/>
      <c r="L473" s="64"/>
      <c r="M473" s="35"/>
    </row>
    <row r="474" customFormat="false" ht="15" hidden="false" customHeight="false" outlineLevel="0" collapsed="false">
      <c r="A474" s="59"/>
      <c r="B474" s="35"/>
      <c r="C474" s="35"/>
      <c r="D474" s="35"/>
      <c r="E474" s="35"/>
      <c r="F474" s="35"/>
      <c r="G474" s="64"/>
      <c r="H474" s="35"/>
      <c r="I474" s="35"/>
      <c r="J474" s="35"/>
      <c r="K474" s="35"/>
      <c r="L474" s="64"/>
      <c r="M474" s="35"/>
    </row>
    <row r="475" customFormat="false" ht="15" hidden="false" customHeight="false" outlineLevel="0" collapsed="false">
      <c r="A475" s="59"/>
      <c r="B475" s="35"/>
      <c r="C475" s="35"/>
      <c r="D475" s="35"/>
      <c r="E475" s="35"/>
      <c r="F475" s="35"/>
      <c r="G475" s="64"/>
      <c r="H475" s="35"/>
      <c r="I475" s="35"/>
      <c r="J475" s="35"/>
      <c r="K475" s="35"/>
      <c r="L475" s="64"/>
      <c r="M475" s="35"/>
    </row>
    <row r="476" customFormat="false" ht="15" hidden="false" customHeight="false" outlineLevel="0" collapsed="false">
      <c r="A476" s="59"/>
      <c r="B476" s="35"/>
      <c r="C476" s="35"/>
      <c r="D476" s="35"/>
      <c r="E476" s="35"/>
      <c r="F476" s="35"/>
      <c r="G476" s="64"/>
      <c r="H476" s="35"/>
      <c r="I476" s="35"/>
      <c r="J476" s="35"/>
      <c r="K476" s="35"/>
      <c r="L476" s="64"/>
      <c r="M476" s="35"/>
    </row>
    <row r="477" customFormat="false" ht="15" hidden="false" customHeight="false" outlineLevel="0" collapsed="false">
      <c r="A477" s="59"/>
      <c r="B477" s="35"/>
      <c r="C477" s="35"/>
      <c r="D477" s="35"/>
      <c r="E477" s="35"/>
      <c r="F477" s="35"/>
      <c r="G477" s="64"/>
      <c r="H477" s="35"/>
      <c r="I477" s="35"/>
      <c r="J477" s="35"/>
      <c r="K477" s="35"/>
      <c r="L477" s="64"/>
      <c r="M477" s="35"/>
    </row>
    <row r="478" customFormat="false" ht="15" hidden="false" customHeight="false" outlineLevel="0" collapsed="false">
      <c r="A478" s="59"/>
      <c r="B478" s="35"/>
      <c r="C478" s="35"/>
      <c r="D478" s="35"/>
      <c r="E478" s="35"/>
      <c r="F478" s="35"/>
      <c r="G478" s="64"/>
      <c r="H478" s="35"/>
      <c r="I478" s="35"/>
      <c r="J478" s="35"/>
      <c r="K478" s="35"/>
      <c r="L478" s="64"/>
      <c r="M478" s="35"/>
    </row>
    <row r="479" customFormat="false" ht="15" hidden="false" customHeight="false" outlineLevel="0" collapsed="false">
      <c r="A479" s="59"/>
      <c r="B479" s="35"/>
      <c r="C479" s="35"/>
      <c r="D479" s="35"/>
      <c r="E479" s="35"/>
      <c r="F479" s="35"/>
      <c r="G479" s="64"/>
      <c r="H479" s="35"/>
      <c r="I479" s="35"/>
      <c r="J479" s="35"/>
      <c r="K479" s="35"/>
      <c r="L479" s="64"/>
      <c r="M479" s="35"/>
    </row>
    <row r="480" customFormat="false" ht="15" hidden="false" customHeight="false" outlineLevel="0" collapsed="false">
      <c r="A480" s="59"/>
      <c r="B480" s="35"/>
      <c r="C480" s="35"/>
      <c r="D480" s="35"/>
      <c r="E480" s="35"/>
      <c r="F480" s="35"/>
      <c r="G480" s="64"/>
      <c r="H480" s="35"/>
      <c r="I480" s="35"/>
      <c r="J480" s="35"/>
      <c r="K480" s="35"/>
      <c r="L480" s="64"/>
      <c r="M480" s="35"/>
    </row>
    <row r="481" customFormat="false" ht="15" hidden="false" customHeight="false" outlineLevel="0" collapsed="false">
      <c r="A481" s="59"/>
      <c r="B481" s="35"/>
      <c r="C481" s="35"/>
      <c r="D481" s="35"/>
      <c r="E481" s="35"/>
      <c r="F481" s="35"/>
      <c r="G481" s="64"/>
      <c r="H481" s="35"/>
      <c r="I481" s="35"/>
      <c r="J481" s="35"/>
      <c r="K481" s="35"/>
      <c r="L481" s="64"/>
      <c r="M481" s="35"/>
    </row>
    <row r="482" customFormat="false" ht="15" hidden="false" customHeight="false" outlineLevel="0" collapsed="false">
      <c r="A482" s="59"/>
      <c r="B482" s="35"/>
      <c r="C482" s="35"/>
      <c r="D482" s="35"/>
      <c r="E482" s="35"/>
      <c r="F482" s="35"/>
      <c r="G482" s="64"/>
      <c r="H482" s="35"/>
      <c r="I482" s="35"/>
      <c r="J482" s="35"/>
      <c r="K482" s="35"/>
      <c r="L482" s="64"/>
      <c r="M482" s="35"/>
    </row>
    <row r="483" customFormat="false" ht="15" hidden="false" customHeight="false" outlineLevel="0" collapsed="false">
      <c r="A483" s="59"/>
      <c r="B483" s="35"/>
      <c r="C483" s="35"/>
      <c r="D483" s="35"/>
      <c r="E483" s="35"/>
      <c r="F483" s="35"/>
      <c r="G483" s="64"/>
      <c r="H483" s="35"/>
      <c r="I483" s="35"/>
      <c r="J483" s="35"/>
      <c r="K483" s="35"/>
      <c r="L483" s="64"/>
      <c r="M483" s="35"/>
    </row>
    <row r="484" customFormat="false" ht="15" hidden="false" customHeight="false" outlineLevel="0" collapsed="false">
      <c r="A484" s="59"/>
      <c r="B484" s="35"/>
      <c r="C484" s="35"/>
      <c r="D484" s="35"/>
      <c r="E484" s="35"/>
      <c r="F484" s="35"/>
      <c r="G484" s="64"/>
      <c r="H484" s="35"/>
      <c r="I484" s="35"/>
      <c r="J484" s="35"/>
      <c r="K484" s="35"/>
      <c r="L484" s="64"/>
      <c r="M484" s="35"/>
    </row>
    <row r="485" customFormat="false" ht="15" hidden="false" customHeight="false" outlineLevel="0" collapsed="false">
      <c r="A485" s="59"/>
      <c r="B485" s="35"/>
      <c r="C485" s="35"/>
      <c r="D485" s="35"/>
      <c r="E485" s="35"/>
      <c r="F485" s="35"/>
      <c r="G485" s="64"/>
      <c r="H485" s="35"/>
      <c r="I485" s="35"/>
      <c r="J485" s="35"/>
      <c r="K485" s="35"/>
      <c r="L485" s="64"/>
      <c r="M485" s="35"/>
    </row>
    <row r="486" customFormat="false" ht="15" hidden="false" customHeight="false" outlineLevel="0" collapsed="false">
      <c r="A486" s="59"/>
      <c r="B486" s="35"/>
      <c r="C486" s="35"/>
      <c r="D486" s="35"/>
      <c r="E486" s="35"/>
      <c r="F486" s="35"/>
      <c r="G486" s="64"/>
      <c r="H486" s="35"/>
      <c r="I486" s="35"/>
      <c r="J486" s="35"/>
      <c r="K486" s="35"/>
      <c r="L486" s="64"/>
      <c r="M486" s="35"/>
    </row>
    <row r="487" customFormat="false" ht="15" hidden="false" customHeight="false" outlineLevel="0" collapsed="false">
      <c r="A487" s="59"/>
      <c r="B487" s="35"/>
      <c r="C487" s="35"/>
      <c r="D487" s="35"/>
      <c r="E487" s="35"/>
      <c r="F487" s="35"/>
      <c r="G487" s="64"/>
      <c r="H487" s="35"/>
      <c r="I487" s="35"/>
      <c r="J487" s="35"/>
      <c r="K487" s="35"/>
      <c r="L487" s="64"/>
      <c r="M487" s="35"/>
    </row>
    <row r="488" customFormat="false" ht="15" hidden="false" customHeight="false" outlineLevel="0" collapsed="false">
      <c r="A488" s="59"/>
      <c r="B488" s="35"/>
      <c r="C488" s="35"/>
      <c r="D488" s="35"/>
      <c r="E488" s="35"/>
      <c r="F488" s="35"/>
      <c r="G488" s="64"/>
      <c r="H488" s="35"/>
      <c r="I488" s="35"/>
      <c r="J488" s="35"/>
      <c r="K488" s="35"/>
      <c r="L488" s="64"/>
      <c r="M488" s="35"/>
    </row>
    <row r="489" customFormat="false" ht="15" hidden="false" customHeight="false" outlineLevel="0" collapsed="false">
      <c r="A489" s="59"/>
      <c r="B489" s="35"/>
      <c r="C489" s="35"/>
      <c r="D489" s="35"/>
      <c r="E489" s="35"/>
      <c r="F489" s="35"/>
      <c r="G489" s="64"/>
      <c r="H489" s="35"/>
      <c r="I489" s="35"/>
      <c r="J489" s="35"/>
      <c r="K489" s="35"/>
      <c r="L489" s="64"/>
      <c r="M489" s="35"/>
    </row>
    <row r="490" customFormat="false" ht="15" hidden="false" customHeight="false" outlineLevel="0" collapsed="false">
      <c r="A490" s="59"/>
      <c r="B490" s="35"/>
      <c r="C490" s="35"/>
      <c r="D490" s="35"/>
      <c r="E490" s="35"/>
      <c r="F490" s="35"/>
      <c r="G490" s="64"/>
      <c r="H490" s="35"/>
      <c r="I490" s="35"/>
      <c r="J490" s="35"/>
      <c r="K490" s="35"/>
      <c r="L490" s="64"/>
      <c r="M490" s="35"/>
    </row>
    <row r="491" customFormat="false" ht="15" hidden="false" customHeight="false" outlineLevel="0" collapsed="false">
      <c r="A491" s="59"/>
      <c r="B491" s="35"/>
      <c r="C491" s="35"/>
      <c r="D491" s="35"/>
      <c r="E491" s="35"/>
      <c r="F491" s="35"/>
      <c r="G491" s="64"/>
      <c r="H491" s="35"/>
      <c r="I491" s="35"/>
      <c r="J491" s="35"/>
      <c r="K491" s="35"/>
      <c r="L491" s="64"/>
      <c r="M491" s="35"/>
    </row>
    <row r="492" customFormat="false" ht="15" hidden="false" customHeight="false" outlineLevel="0" collapsed="false">
      <c r="A492" s="59"/>
      <c r="B492" s="35"/>
      <c r="C492" s="35"/>
      <c r="D492" s="35"/>
      <c r="E492" s="35"/>
      <c r="F492" s="35"/>
      <c r="G492" s="64"/>
      <c r="H492" s="35"/>
      <c r="I492" s="35"/>
      <c r="J492" s="35"/>
      <c r="K492" s="35"/>
      <c r="L492" s="64"/>
      <c r="M492" s="35"/>
    </row>
    <row r="493" customFormat="false" ht="15" hidden="false" customHeight="false" outlineLevel="0" collapsed="false">
      <c r="A493" s="59"/>
      <c r="B493" s="35"/>
      <c r="C493" s="35"/>
      <c r="D493" s="35"/>
      <c r="E493" s="35"/>
      <c r="F493" s="35"/>
      <c r="G493" s="64"/>
      <c r="H493" s="35"/>
      <c r="I493" s="35"/>
      <c r="J493" s="35"/>
      <c r="K493" s="35"/>
      <c r="L493" s="64"/>
      <c r="M493" s="35"/>
    </row>
    <row r="494" customFormat="false" ht="15" hidden="false" customHeight="false" outlineLevel="0" collapsed="false">
      <c r="A494" s="59"/>
      <c r="B494" s="35"/>
      <c r="C494" s="35"/>
      <c r="D494" s="35"/>
      <c r="E494" s="35"/>
      <c r="F494" s="35"/>
      <c r="G494" s="64"/>
      <c r="H494" s="35"/>
      <c r="I494" s="35"/>
      <c r="J494" s="35"/>
      <c r="K494" s="35"/>
      <c r="L494" s="64"/>
      <c r="M494" s="35"/>
    </row>
    <row r="495" customFormat="false" ht="15" hidden="false" customHeight="false" outlineLevel="0" collapsed="false">
      <c r="A495" s="59"/>
      <c r="B495" s="35"/>
      <c r="C495" s="35"/>
      <c r="D495" s="35"/>
      <c r="E495" s="35"/>
      <c r="F495" s="35"/>
      <c r="G495" s="64"/>
      <c r="H495" s="35"/>
      <c r="I495" s="35"/>
      <c r="J495" s="35"/>
      <c r="K495" s="35"/>
      <c r="L495" s="64"/>
      <c r="M495" s="35"/>
    </row>
    <row r="496" customFormat="false" ht="15" hidden="false" customHeight="false" outlineLevel="0" collapsed="false">
      <c r="A496" s="59"/>
      <c r="B496" s="35"/>
      <c r="C496" s="35"/>
      <c r="D496" s="35"/>
      <c r="E496" s="35"/>
      <c r="F496" s="35"/>
      <c r="G496" s="64"/>
      <c r="H496" s="35"/>
      <c r="I496" s="35"/>
      <c r="J496" s="35"/>
      <c r="K496" s="35"/>
      <c r="L496" s="64"/>
      <c r="M496" s="35"/>
    </row>
    <row r="497" customFormat="false" ht="15" hidden="false" customHeight="false" outlineLevel="0" collapsed="false">
      <c r="A497" s="59"/>
      <c r="B497" s="35"/>
      <c r="C497" s="35"/>
      <c r="D497" s="35"/>
      <c r="E497" s="35"/>
      <c r="F497" s="35"/>
      <c r="G497" s="64"/>
      <c r="H497" s="35"/>
      <c r="I497" s="35"/>
      <c r="J497" s="35"/>
      <c r="K497" s="35"/>
      <c r="L497" s="64"/>
      <c r="M497" s="35"/>
    </row>
    <row r="498" customFormat="false" ht="15" hidden="false" customHeight="false" outlineLevel="0" collapsed="false">
      <c r="A498" s="59"/>
      <c r="B498" s="35"/>
      <c r="C498" s="35"/>
      <c r="D498" s="35"/>
      <c r="E498" s="35"/>
      <c r="F498" s="35"/>
      <c r="G498" s="64"/>
      <c r="H498" s="35"/>
      <c r="I498" s="35"/>
      <c r="J498" s="35"/>
      <c r="K498" s="35"/>
      <c r="L498" s="64"/>
      <c r="M498" s="35"/>
    </row>
    <row r="499" customFormat="false" ht="15" hidden="false" customHeight="false" outlineLevel="0" collapsed="false">
      <c r="A499" s="59"/>
      <c r="B499" s="35"/>
      <c r="C499" s="35"/>
      <c r="D499" s="35"/>
      <c r="E499" s="35"/>
      <c r="F499" s="35"/>
      <c r="G499" s="64"/>
      <c r="H499" s="35"/>
      <c r="I499" s="35"/>
      <c r="J499" s="35"/>
      <c r="K499" s="35"/>
      <c r="L499" s="64"/>
      <c r="M499" s="35"/>
    </row>
    <row r="500" customFormat="false" ht="15" hidden="false" customHeight="false" outlineLevel="0" collapsed="false">
      <c r="A500" s="59"/>
      <c r="B500" s="35"/>
      <c r="C500" s="35"/>
      <c r="D500" s="35"/>
      <c r="E500" s="35"/>
      <c r="F500" s="35"/>
      <c r="G500" s="64"/>
      <c r="H500" s="35"/>
      <c r="I500" s="35"/>
      <c r="J500" s="35"/>
      <c r="K500" s="35"/>
      <c r="L500" s="64"/>
      <c r="M500" s="35"/>
    </row>
    <row r="501" customFormat="false" ht="15" hidden="false" customHeight="false" outlineLevel="0" collapsed="false">
      <c r="A501" s="59"/>
      <c r="B501" s="35"/>
      <c r="C501" s="35"/>
      <c r="D501" s="35"/>
      <c r="E501" s="35"/>
      <c r="F501" s="35"/>
      <c r="G501" s="64"/>
      <c r="H501" s="35"/>
      <c r="I501" s="35"/>
      <c r="J501" s="35"/>
      <c r="K501" s="35"/>
      <c r="L501" s="64"/>
      <c r="M501" s="35"/>
    </row>
    <row r="502" customFormat="false" ht="15" hidden="false" customHeight="false" outlineLevel="0" collapsed="false">
      <c r="A502" s="59"/>
      <c r="B502" s="35"/>
      <c r="C502" s="35"/>
      <c r="D502" s="35"/>
      <c r="E502" s="35"/>
      <c r="F502" s="35"/>
      <c r="G502" s="64"/>
      <c r="H502" s="35"/>
      <c r="I502" s="35"/>
      <c r="J502" s="35"/>
      <c r="K502" s="35"/>
      <c r="L502" s="64"/>
      <c r="M502" s="35"/>
    </row>
    <row r="503" customFormat="false" ht="15" hidden="false" customHeight="false" outlineLevel="0" collapsed="false">
      <c r="A503" s="59"/>
      <c r="B503" s="35"/>
      <c r="C503" s="35"/>
      <c r="D503" s="35"/>
      <c r="E503" s="35"/>
      <c r="F503" s="35"/>
      <c r="G503" s="64"/>
      <c r="H503" s="35"/>
      <c r="I503" s="35"/>
      <c r="J503" s="35"/>
      <c r="K503" s="35"/>
      <c r="L503" s="64"/>
      <c r="M503" s="35"/>
    </row>
    <row r="504" customFormat="false" ht="15" hidden="false" customHeight="false" outlineLevel="0" collapsed="false">
      <c r="A504" s="59"/>
      <c r="B504" s="35"/>
      <c r="C504" s="35"/>
      <c r="D504" s="35"/>
      <c r="E504" s="35"/>
      <c r="F504" s="35"/>
      <c r="G504" s="64"/>
      <c r="H504" s="35"/>
      <c r="I504" s="35"/>
      <c r="J504" s="35"/>
      <c r="K504" s="35"/>
      <c r="L504" s="64"/>
      <c r="M504" s="35"/>
    </row>
    <row r="505" customFormat="false" ht="15" hidden="false" customHeight="false" outlineLevel="0" collapsed="false">
      <c r="A505" s="59"/>
      <c r="B505" s="35"/>
      <c r="C505" s="35"/>
      <c r="D505" s="35"/>
      <c r="E505" s="35"/>
      <c r="F505" s="35"/>
      <c r="G505" s="64"/>
      <c r="H505" s="35"/>
      <c r="I505" s="35"/>
      <c r="J505" s="35"/>
      <c r="K505" s="35"/>
      <c r="L505" s="64"/>
      <c r="M505" s="35"/>
    </row>
  </sheetData>
  <autoFilter ref="A4:M505"/>
  <conditionalFormatting sqref="K6:K505">
    <cfRule type="cellIs" priority="2" operator="equal" aboveAverage="0" equalAverage="0" bottom="0" percent="0" rank="0" text="" dxfId="15">
      <formula>"Yes"</formula>
    </cfRule>
  </conditionalFormatting>
  <dataValidations count="4">
    <dataValidation allowBlank="true" errorStyle="stop" operator="between" showDropDown="false" showErrorMessage="false" showInputMessage="false" sqref="D5:D505" type="list">
      <formula1>"dbt / Snowflake,BigQuery / GA4,Migration,ELT / Airflow,Streaming / CDC,Cost optimization,Power BI dashboard,Marketing analytics,Looker Studio,SQL tuning,DBA / DevOps,Other"</formula1>
      <formula2>0</formula2>
    </dataValidation>
    <dataValidation allowBlank="true" errorStyle="stop" operator="between" showDropDown="false" showErrorMessage="false" showInputMessage="false" sqref="E5:E505" type="list">
      <formula1>"Hourly,Fixed"</formula1>
      <formula2>0</formula2>
    </dataValidation>
    <dataValidation allowBlank="true" errorStyle="stop" operator="between" showDropDown="false" showErrorMessage="false" showInputMessage="false" sqref="I5:K505" type="list">
      <formula1>"Yes,No"</formula1>
      <formula2>0</formula2>
    </dataValidation>
    <dataValidation allowBlank="true" errorStyle="stop" operator="between" showDropDown="false" showErrorMessage="false" showInputMessage="false" sqref="H5:H505" type="list">
      <formula1>"dbt fix,SQL optimization,Dashboard + model,Power BI dashboard,Marketing dashboard,Migration,Cost audit,Pipeline build,Custom"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40"/>
  </cols>
  <sheetData>
    <row r="1" customFormat="false" ht="19.7" hidden="false" customHeight="false" outlineLevel="0" collapsed="false">
      <c r="A1" s="1" t="s">
        <v>477</v>
      </c>
    </row>
    <row r="2" customFormat="false" ht="15" hidden="false" customHeight="false" outlineLevel="0" collapsed="false">
      <c r="A2" s="2" t="s">
        <v>478</v>
      </c>
    </row>
    <row r="4" customFormat="false" ht="31.5" hidden="false" customHeight="true" outlineLevel="0" collapsed="false">
      <c r="A4" s="30" t="s">
        <v>479</v>
      </c>
      <c r="B4" s="30" t="s">
        <v>480</v>
      </c>
      <c r="C4" s="30" t="s">
        <v>33</v>
      </c>
      <c r="D4" s="30" t="s">
        <v>481</v>
      </c>
      <c r="E4" s="30" t="s">
        <v>482</v>
      </c>
      <c r="F4" s="30" t="s">
        <v>483</v>
      </c>
      <c r="G4" s="30" t="s">
        <v>484</v>
      </c>
      <c r="H4" s="30" t="s">
        <v>485</v>
      </c>
      <c r="I4" s="30" t="s">
        <v>486</v>
      </c>
      <c r="J4" s="30" t="s">
        <v>487</v>
      </c>
      <c r="K4" s="30" t="s">
        <v>488</v>
      </c>
    </row>
    <row r="5" customFormat="false" ht="39.75" hidden="false" customHeight="true" outlineLevel="0" collapsed="false">
      <c r="A5" s="60" t="n">
        <v>1</v>
      </c>
      <c r="B5" s="65" t="n">
        <f aca="false">DATE(YEAR(Dashboard!$B$5),MONTH(Dashboard!$B$5)+A5-1,1)</f>
        <v>46266</v>
      </c>
      <c r="C5" s="60" t="n">
        <f aca="false">COUNTIFS('Weekly Plan'!$B$5:$B$68,"&gt;="&amp;B5,'Weekly Plan'!$B$5:$B$68,"&lt;"&amp;DATE(YEAR(Dashboard!$B$5),MONTH(Dashboard!$B$5)+A5,1),'Weekly Plan'!$G$5:$G$68,"Done")</f>
        <v>1</v>
      </c>
      <c r="D5" s="60" t="n">
        <f aca="false">SUMIFS('Weekly Plan'!$F$5:$F$68,'Weekly Plan'!$B$5:$B$68,"&gt;="&amp;B5,'Weekly Plan'!$B$5:$B$68,"&lt;"&amp;DATE(YEAR(Dashboard!$B$5),MONTH(Dashboard!$B$5)+A5,1))</f>
        <v>20</v>
      </c>
      <c r="E5" s="60" t="n">
        <f aca="false">COUNTIFS('Upwork Pipeline'!$A$6:$A$505,"&gt;="&amp;B5,'Upwork Pipeline'!$A$6:$A$505,"&lt;"&amp;DATE(YEAR(Dashboard!$B$5),MONTH(Dashboard!$B$5)+A5,1))</f>
        <v>0</v>
      </c>
      <c r="F5" s="60" t="n">
        <f aca="false">COUNTIFS('Upwork Pipeline'!$A$6:$A$505,"&gt;="&amp;B5,'Upwork Pipeline'!$A$6:$A$505,"&lt;"&amp;DATE(YEAR(Dashboard!$B$5),MONTH(Dashboard!$B$5)+A5,1),'Upwork Pipeline'!$K$6:$K$505,"Yes")</f>
        <v>0</v>
      </c>
      <c r="G5" s="66" t="n">
        <v>0</v>
      </c>
      <c r="H5" s="66" t="n">
        <v>900</v>
      </c>
      <c r="I5" s="66" t="n">
        <v>20</v>
      </c>
      <c r="J5" s="38" t="s">
        <v>489</v>
      </c>
      <c r="K5" s="35"/>
    </row>
    <row r="6" customFormat="false" ht="39.75" hidden="false" customHeight="true" outlineLevel="0" collapsed="false">
      <c r="A6" s="60" t="n">
        <v>2</v>
      </c>
      <c r="B6" s="65" t="n">
        <f aca="false">DATE(YEAR(Dashboard!$B$5),MONTH(Dashboard!$B$5)+A6-1,1)</f>
        <v>46296</v>
      </c>
      <c r="C6" s="60" t="n">
        <f aca="false">COUNTIFS('Weekly Plan'!$B$5:$B$68,"&gt;="&amp;B6,'Weekly Plan'!$B$5:$B$68,"&lt;"&amp;DATE(YEAR(Dashboard!$B$5),MONTH(Dashboard!$B$5)+A6,1),'Weekly Plan'!$G$5:$G$68,"Done")</f>
        <v>0</v>
      </c>
      <c r="D6" s="60" t="n">
        <f aca="false">SUMIFS('Weekly Plan'!$F$5:$F$68,'Weekly Plan'!$B$5:$B$68,"&gt;="&amp;B6,'Weekly Plan'!$B$5:$B$68,"&lt;"&amp;DATE(YEAR(Dashboard!$B$5),MONTH(Dashboard!$B$5)+A6,1))</f>
        <v>0</v>
      </c>
      <c r="E6" s="60" t="n">
        <f aca="false">COUNTIFS('Upwork Pipeline'!$A$6:$A$505,"&gt;="&amp;B6,'Upwork Pipeline'!$A$6:$A$505,"&lt;"&amp;DATE(YEAR(Dashboard!$B$5),MONTH(Dashboard!$B$5)+A6,1))</f>
        <v>0</v>
      </c>
      <c r="F6" s="60" t="n">
        <f aca="false">COUNTIFS('Upwork Pipeline'!$A$6:$A$505,"&gt;="&amp;B6,'Upwork Pipeline'!$A$6:$A$505,"&lt;"&amp;DATE(YEAR(Dashboard!$B$5),MONTH(Dashboard!$B$5)+A6,1),'Upwork Pipeline'!$K$6:$K$505,"Yes")</f>
        <v>0</v>
      </c>
      <c r="G6" s="64"/>
      <c r="H6" s="64"/>
      <c r="I6" s="64"/>
      <c r="J6" s="35"/>
      <c r="K6" s="35"/>
    </row>
    <row r="7" customFormat="false" ht="39.75" hidden="false" customHeight="true" outlineLevel="0" collapsed="false">
      <c r="A7" s="60" t="n">
        <v>3</v>
      </c>
      <c r="B7" s="65" t="n">
        <f aca="false">DATE(YEAR(Dashboard!$B$5),MONTH(Dashboard!$B$5)+A7-1,1)</f>
        <v>46327</v>
      </c>
      <c r="C7" s="60" t="n">
        <f aca="false">COUNTIFS('Weekly Plan'!$B$5:$B$68,"&gt;="&amp;B7,'Weekly Plan'!$B$5:$B$68,"&lt;"&amp;DATE(YEAR(Dashboard!$B$5),MONTH(Dashboard!$B$5)+A7,1),'Weekly Plan'!$G$5:$G$68,"Done")</f>
        <v>0</v>
      </c>
      <c r="D7" s="60" t="n">
        <f aca="false">SUMIFS('Weekly Plan'!$F$5:$F$68,'Weekly Plan'!$B$5:$B$68,"&gt;="&amp;B7,'Weekly Plan'!$B$5:$B$68,"&lt;"&amp;DATE(YEAR(Dashboard!$B$5),MONTH(Dashboard!$B$5)+A7,1))</f>
        <v>0</v>
      </c>
      <c r="E7" s="60" t="n">
        <f aca="false">COUNTIFS('Upwork Pipeline'!$A$6:$A$505,"&gt;="&amp;B7,'Upwork Pipeline'!$A$6:$A$505,"&lt;"&amp;DATE(YEAR(Dashboard!$B$5),MONTH(Dashboard!$B$5)+A7,1))</f>
        <v>0</v>
      </c>
      <c r="F7" s="60" t="n">
        <f aca="false">COUNTIFS('Upwork Pipeline'!$A$6:$A$505,"&gt;="&amp;B7,'Upwork Pipeline'!$A$6:$A$505,"&lt;"&amp;DATE(YEAR(Dashboard!$B$5),MONTH(Dashboard!$B$5)+A7,1),'Upwork Pipeline'!$K$6:$K$505,"Yes")</f>
        <v>0</v>
      </c>
      <c r="G7" s="64"/>
      <c r="H7" s="64"/>
      <c r="I7" s="64"/>
      <c r="J7" s="35"/>
      <c r="K7" s="35"/>
    </row>
    <row r="8" customFormat="false" ht="39.75" hidden="false" customHeight="true" outlineLevel="0" collapsed="false">
      <c r="A8" s="60" t="n">
        <v>4</v>
      </c>
      <c r="B8" s="65" t="n">
        <f aca="false">DATE(YEAR(Dashboard!$B$5),MONTH(Dashboard!$B$5)+A8-1,1)</f>
        <v>46357</v>
      </c>
      <c r="C8" s="60" t="n">
        <f aca="false">COUNTIFS('Weekly Plan'!$B$5:$B$68,"&gt;="&amp;B8,'Weekly Plan'!$B$5:$B$68,"&lt;"&amp;DATE(YEAR(Dashboard!$B$5),MONTH(Dashboard!$B$5)+A8,1),'Weekly Plan'!$G$5:$G$68,"Done")</f>
        <v>0</v>
      </c>
      <c r="D8" s="60" t="n">
        <f aca="false">SUMIFS('Weekly Plan'!$F$5:$F$68,'Weekly Plan'!$B$5:$B$68,"&gt;="&amp;B8,'Weekly Plan'!$B$5:$B$68,"&lt;"&amp;DATE(YEAR(Dashboard!$B$5),MONTH(Dashboard!$B$5)+A8,1))</f>
        <v>0</v>
      </c>
      <c r="E8" s="60" t="n">
        <f aca="false">COUNTIFS('Upwork Pipeline'!$A$6:$A$505,"&gt;="&amp;B8,'Upwork Pipeline'!$A$6:$A$505,"&lt;"&amp;DATE(YEAR(Dashboard!$B$5),MONTH(Dashboard!$B$5)+A8,1))</f>
        <v>0</v>
      </c>
      <c r="F8" s="60" t="n">
        <f aca="false">COUNTIFS('Upwork Pipeline'!$A$6:$A$505,"&gt;="&amp;B8,'Upwork Pipeline'!$A$6:$A$505,"&lt;"&amp;DATE(YEAR(Dashboard!$B$5),MONTH(Dashboard!$B$5)+A8,1),'Upwork Pipeline'!$K$6:$K$505,"Yes")</f>
        <v>0</v>
      </c>
      <c r="G8" s="64"/>
      <c r="H8" s="64"/>
      <c r="I8" s="64"/>
      <c r="J8" s="35"/>
      <c r="K8" s="35"/>
    </row>
    <row r="9" customFormat="false" ht="39.75" hidden="false" customHeight="true" outlineLevel="0" collapsed="false">
      <c r="A9" s="60" t="n">
        <v>5</v>
      </c>
      <c r="B9" s="65" t="n">
        <f aca="false">DATE(YEAR(Dashboard!$B$5),MONTH(Dashboard!$B$5)+A9-1,1)</f>
        <v>46388</v>
      </c>
      <c r="C9" s="60" t="n">
        <f aca="false">COUNTIFS('Weekly Plan'!$B$5:$B$68,"&gt;="&amp;B9,'Weekly Plan'!$B$5:$B$68,"&lt;"&amp;DATE(YEAR(Dashboard!$B$5),MONTH(Dashboard!$B$5)+A9,1),'Weekly Plan'!$G$5:$G$68,"Done")</f>
        <v>0</v>
      </c>
      <c r="D9" s="60" t="n">
        <f aca="false">SUMIFS('Weekly Plan'!$F$5:$F$68,'Weekly Plan'!$B$5:$B$68,"&gt;="&amp;B9,'Weekly Plan'!$B$5:$B$68,"&lt;"&amp;DATE(YEAR(Dashboard!$B$5),MONTH(Dashboard!$B$5)+A9,1))</f>
        <v>0</v>
      </c>
      <c r="E9" s="60" t="n">
        <f aca="false">COUNTIFS('Upwork Pipeline'!$A$6:$A$505,"&gt;="&amp;B9,'Upwork Pipeline'!$A$6:$A$505,"&lt;"&amp;DATE(YEAR(Dashboard!$B$5),MONTH(Dashboard!$B$5)+A9,1))</f>
        <v>0</v>
      </c>
      <c r="F9" s="60" t="n">
        <f aca="false">COUNTIFS('Upwork Pipeline'!$A$6:$A$505,"&gt;="&amp;B9,'Upwork Pipeline'!$A$6:$A$505,"&lt;"&amp;DATE(YEAR(Dashboard!$B$5),MONTH(Dashboard!$B$5)+A9,1),'Upwork Pipeline'!$K$6:$K$505,"Yes")</f>
        <v>0</v>
      </c>
      <c r="G9" s="64"/>
      <c r="H9" s="64"/>
      <c r="I9" s="64"/>
      <c r="J9" s="35"/>
      <c r="K9" s="35"/>
    </row>
    <row r="10" customFormat="false" ht="39.75" hidden="false" customHeight="true" outlineLevel="0" collapsed="false">
      <c r="A10" s="60" t="n">
        <v>6</v>
      </c>
      <c r="B10" s="65" t="n">
        <f aca="false">DATE(YEAR(Dashboard!$B$5),MONTH(Dashboard!$B$5)+A10-1,1)</f>
        <v>46419</v>
      </c>
      <c r="C10" s="60" t="n">
        <f aca="false">COUNTIFS('Weekly Plan'!$B$5:$B$68,"&gt;="&amp;B10,'Weekly Plan'!$B$5:$B$68,"&lt;"&amp;DATE(YEAR(Dashboard!$B$5),MONTH(Dashboard!$B$5)+A10,1),'Weekly Plan'!$G$5:$G$68,"Done")</f>
        <v>0</v>
      </c>
      <c r="D10" s="60" t="n">
        <f aca="false">SUMIFS('Weekly Plan'!$F$5:$F$68,'Weekly Plan'!$B$5:$B$68,"&gt;="&amp;B10,'Weekly Plan'!$B$5:$B$68,"&lt;"&amp;DATE(YEAR(Dashboard!$B$5),MONTH(Dashboard!$B$5)+A10,1))</f>
        <v>0</v>
      </c>
      <c r="E10" s="60" t="n">
        <f aca="false">COUNTIFS('Upwork Pipeline'!$A$6:$A$505,"&gt;="&amp;B10,'Upwork Pipeline'!$A$6:$A$505,"&lt;"&amp;DATE(YEAR(Dashboard!$B$5),MONTH(Dashboard!$B$5)+A10,1))</f>
        <v>0</v>
      </c>
      <c r="F10" s="60" t="n">
        <f aca="false">COUNTIFS('Upwork Pipeline'!$A$6:$A$505,"&gt;="&amp;B10,'Upwork Pipeline'!$A$6:$A$505,"&lt;"&amp;DATE(YEAR(Dashboard!$B$5),MONTH(Dashboard!$B$5)+A10,1),'Upwork Pipeline'!$K$6:$K$505,"Yes")</f>
        <v>0</v>
      </c>
      <c r="G10" s="64"/>
      <c r="H10" s="64"/>
      <c r="I10" s="64"/>
      <c r="J10" s="35"/>
      <c r="K10" s="35"/>
    </row>
    <row r="11" customFormat="false" ht="39.75" hidden="false" customHeight="true" outlineLevel="0" collapsed="false">
      <c r="A11" s="60" t="n">
        <v>7</v>
      </c>
      <c r="B11" s="65" t="n">
        <f aca="false">DATE(YEAR(Dashboard!$B$5),MONTH(Dashboard!$B$5)+A11-1,1)</f>
        <v>46447</v>
      </c>
      <c r="C11" s="60" t="n">
        <f aca="false">COUNTIFS('Weekly Plan'!$B$5:$B$68,"&gt;="&amp;B11,'Weekly Plan'!$B$5:$B$68,"&lt;"&amp;DATE(YEAR(Dashboard!$B$5),MONTH(Dashboard!$B$5)+A11,1),'Weekly Plan'!$G$5:$G$68,"Done")</f>
        <v>0</v>
      </c>
      <c r="D11" s="60" t="n">
        <f aca="false">SUMIFS('Weekly Plan'!$F$5:$F$68,'Weekly Plan'!$B$5:$B$68,"&gt;="&amp;B11,'Weekly Plan'!$B$5:$B$68,"&lt;"&amp;DATE(YEAR(Dashboard!$B$5),MONTH(Dashboard!$B$5)+A11,1))</f>
        <v>0</v>
      </c>
      <c r="E11" s="60" t="n">
        <f aca="false">COUNTIFS('Upwork Pipeline'!$A$6:$A$505,"&gt;="&amp;B11,'Upwork Pipeline'!$A$6:$A$505,"&lt;"&amp;DATE(YEAR(Dashboard!$B$5),MONTH(Dashboard!$B$5)+A11,1))</f>
        <v>0</v>
      </c>
      <c r="F11" s="60" t="n">
        <f aca="false">COUNTIFS('Upwork Pipeline'!$A$6:$A$505,"&gt;="&amp;B11,'Upwork Pipeline'!$A$6:$A$505,"&lt;"&amp;DATE(YEAR(Dashboard!$B$5),MONTH(Dashboard!$B$5)+A11,1),'Upwork Pipeline'!$K$6:$K$505,"Yes")</f>
        <v>0</v>
      </c>
      <c r="G11" s="64"/>
      <c r="H11" s="64"/>
      <c r="I11" s="64"/>
      <c r="J11" s="35"/>
      <c r="K11" s="35"/>
    </row>
    <row r="12" customFormat="false" ht="39.75" hidden="false" customHeight="true" outlineLevel="0" collapsed="false">
      <c r="A12" s="60" t="n">
        <v>8</v>
      </c>
      <c r="B12" s="65" t="n">
        <f aca="false">DATE(YEAR(Dashboard!$B$5),MONTH(Dashboard!$B$5)+A12-1,1)</f>
        <v>46478</v>
      </c>
      <c r="C12" s="60" t="n">
        <f aca="false">COUNTIFS('Weekly Plan'!$B$5:$B$68,"&gt;="&amp;B12,'Weekly Plan'!$B$5:$B$68,"&lt;"&amp;DATE(YEAR(Dashboard!$B$5),MONTH(Dashboard!$B$5)+A12,1),'Weekly Plan'!$G$5:$G$68,"Done")</f>
        <v>0</v>
      </c>
      <c r="D12" s="60" t="n">
        <f aca="false">SUMIFS('Weekly Plan'!$F$5:$F$68,'Weekly Plan'!$B$5:$B$68,"&gt;="&amp;B12,'Weekly Plan'!$B$5:$B$68,"&lt;"&amp;DATE(YEAR(Dashboard!$B$5),MONTH(Dashboard!$B$5)+A12,1))</f>
        <v>0</v>
      </c>
      <c r="E12" s="60" t="n">
        <f aca="false">COUNTIFS('Upwork Pipeline'!$A$6:$A$505,"&gt;="&amp;B12,'Upwork Pipeline'!$A$6:$A$505,"&lt;"&amp;DATE(YEAR(Dashboard!$B$5),MONTH(Dashboard!$B$5)+A12,1))</f>
        <v>0</v>
      </c>
      <c r="F12" s="60" t="n">
        <f aca="false">COUNTIFS('Upwork Pipeline'!$A$6:$A$505,"&gt;="&amp;B12,'Upwork Pipeline'!$A$6:$A$505,"&lt;"&amp;DATE(YEAR(Dashboard!$B$5),MONTH(Dashboard!$B$5)+A12,1),'Upwork Pipeline'!$K$6:$K$505,"Yes")</f>
        <v>0</v>
      </c>
      <c r="G12" s="64"/>
      <c r="H12" s="64"/>
      <c r="I12" s="64"/>
      <c r="J12" s="35"/>
      <c r="K12" s="35"/>
    </row>
    <row r="13" customFormat="false" ht="39.75" hidden="false" customHeight="true" outlineLevel="0" collapsed="false">
      <c r="A13" s="60" t="n">
        <v>9</v>
      </c>
      <c r="B13" s="65" t="n">
        <f aca="false">DATE(YEAR(Dashboard!$B$5),MONTH(Dashboard!$B$5)+A13-1,1)</f>
        <v>46508</v>
      </c>
      <c r="C13" s="60" t="n">
        <f aca="false">COUNTIFS('Weekly Plan'!$B$5:$B$68,"&gt;="&amp;B13,'Weekly Plan'!$B$5:$B$68,"&lt;"&amp;DATE(YEAR(Dashboard!$B$5),MONTH(Dashboard!$B$5)+A13,1),'Weekly Plan'!$G$5:$G$68,"Done")</f>
        <v>0</v>
      </c>
      <c r="D13" s="60" t="n">
        <f aca="false">SUMIFS('Weekly Plan'!$F$5:$F$68,'Weekly Plan'!$B$5:$B$68,"&gt;="&amp;B13,'Weekly Plan'!$B$5:$B$68,"&lt;"&amp;DATE(YEAR(Dashboard!$B$5),MONTH(Dashboard!$B$5)+A13,1))</f>
        <v>0</v>
      </c>
      <c r="E13" s="60" t="n">
        <f aca="false">COUNTIFS('Upwork Pipeline'!$A$6:$A$505,"&gt;="&amp;B13,'Upwork Pipeline'!$A$6:$A$505,"&lt;"&amp;DATE(YEAR(Dashboard!$B$5),MONTH(Dashboard!$B$5)+A13,1))</f>
        <v>0</v>
      </c>
      <c r="F13" s="60" t="n">
        <f aca="false">COUNTIFS('Upwork Pipeline'!$A$6:$A$505,"&gt;="&amp;B13,'Upwork Pipeline'!$A$6:$A$505,"&lt;"&amp;DATE(YEAR(Dashboard!$B$5),MONTH(Dashboard!$B$5)+A13,1),'Upwork Pipeline'!$K$6:$K$505,"Yes")</f>
        <v>0</v>
      </c>
      <c r="G13" s="64"/>
      <c r="H13" s="64"/>
      <c r="I13" s="64"/>
      <c r="J13" s="35"/>
      <c r="K13" s="35"/>
    </row>
    <row r="14" customFormat="false" ht="39.75" hidden="false" customHeight="true" outlineLevel="0" collapsed="false">
      <c r="A14" s="60" t="n">
        <v>10</v>
      </c>
      <c r="B14" s="65" t="n">
        <f aca="false">DATE(YEAR(Dashboard!$B$5),MONTH(Dashboard!$B$5)+A14-1,1)</f>
        <v>46539</v>
      </c>
      <c r="C14" s="60" t="n">
        <f aca="false">COUNTIFS('Weekly Plan'!$B$5:$B$68,"&gt;="&amp;B14,'Weekly Plan'!$B$5:$B$68,"&lt;"&amp;DATE(YEAR(Dashboard!$B$5),MONTH(Dashboard!$B$5)+A14,1),'Weekly Plan'!$G$5:$G$68,"Done")</f>
        <v>0</v>
      </c>
      <c r="D14" s="60" t="n">
        <f aca="false">SUMIFS('Weekly Plan'!$F$5:$F$68,'Weekly Plan'!$B$5:$B$68,"&gt;="&amp;B14,'Weekly Plan'!$B$5:$B$68,"&lt;"&amp;DATE(YEAR(Dashboard!$B$5),MONTH(Dashboard!$B$5)+A14,1))</f>
        <v>0</v>
      </c>
      <c r="E14" s="60" t="n">
        <f aca="false">COUNTIFS('Upwork Pipeline'!$A$6:$A$505,"&gt;="&amp;B14,'Upwork Pipeline'!$A$6:$A$505,"&lt;"&amp;DATE(YEAR(Dashboard!$B$5),MONTH(Dashboard!$B$5)+A14,1))</f>
        <v>0</v>
      </c>
      <c r="F14" s="60" t="n">
        <f aca="false">COUNTIFS('Upwork Pipeline'!$A$6:$A$505,"&gt;="&amp;B14,'Upwork Pipeline'!$A$6:$A$505,"&lt;"&amp;DATE(YEAR(Dashboard!$B$5),MONTH(Dashboard!$B$5)+A14,1),'Upwork Pipeline'!$K$6:$K$505,"Yes")</f>
        <v>0</v>
      </c>
      <c r="G14" s="64"/>
      <c r="H14" s="64"/>
      <c r="I14" s="64"/>
      <c r="J14" s="35"/>
      <c r="K14" s="35"/>
    </row>
    <row r="15" customFormat="false" ht="39.75" hidden="false" customHeight="true" outlineLevel="0" collapsed="false">
      <c r="A15" s="60" t="n">
        <v>11</v>
      </c>
      <c r="B15" s="65" t="n">
        <f aca="false">DATE(YEAR(Dashboard!$B$5),MONTH(Dashboard!$B$5)+A15-1,1)</f>
        <v>46569</v>
      </c>
      <c r="C15" s="60" t="n">
        <f aca="false">COUNTIFS('Weekly Plan'!$B$5:$B$68,"&gt;="&amp;B15,'Weekly Plan'!$B$5:$B$68,"&lt;"&amp;DATE(YEAR(Dashboard!$B$5),MONTH(Dashboard!$B$5)+A15,1),'Weekly Plan'!$G$5:$G$68,"Done")</f>
        <v>0</v>
      </c>
      <c r="D15" s="60" t="n">
        <f aca="false">SUMIFS('Weekly Plan'!$F$5:$F$68,'Weekly Plan'!$B$5:$B$68,"&gt;="&amp;B15,'Weekly Plan'!$B$5:$B$68,"&lt;"&amp;DATE(YEAR(Dashboard!$B$5),MONTH(Dashboard!$B$5)+A15,1))</f>
        <v>0</v>
      </c>
      <c r="E15" s="60" t="n">
        <f aca="false">COUNTIFS('Upwork Pipeline'!$A$6:$A$505,"&gt;="&amp;B15,'Upwork Pipeline'!$A$6:$A$505,"&lt;"&amp;DATE(YEAR(Dashboard!$B$5),MONTH(Dashboard!$B$5)+A15,1))</f>
        <v>0</v>
      </c>
      <c r="F15" s="60" t="n">
        <f aca="false">COUNTIFS('Upwork Pipeline'!$A$6:$A$505,"&gt;="&amp;B15,'Upwork Pipeline'!$A$6:$A$505,"&lt;"&amp;DATE(YEAR(Dashboard!$B$5),MONTH(Dashboard!$B$5)+A15,1),'Upwork Pipeline'!$K$6:$K$505,"Yes")</f>
        <v>0</v>
      </c>
      <c r="G15" s="64"/>
      <c r="H15" s="64"/>
      <c r="I15" s="64"/>
      <c r="J15" s="35"/>
      <c r="K15" s="35"/>
    </row>
    <row r="16" customFormat="false" ht="39.75" hidden="false" customHeight="true" outlineLevel="0" collapsed="false">
      <c r="A16" s="60" t="n">
        <v>12</v>
      </c>
      <c r="B16" s="65" t="n">
        <f aca="false">DATE(YEAR(Dashboard!$B$5),MONTH(Dashboard!$B$5)+A16-1,1)</f>
        <v>46600</v>
      </c>
      <c r="C16" s="60" t="n">
        <f aca="false">COUNTIFS('Weekly Plan'!$B$5:$B$68,"&gt;="&amp;B16,'Weekly Plan'!$B$5:$B$68,"&lt;"&amp;DATE(YEAR(Dashboard!$B$5),MONTH(Dashboard!$B$5)+A16,1),'Weekly Plan'!$G$5:$G$68,"Done")</f>
        <v>0</v>
      </c>
      <c r="D16" s="60" t="n">
        <f aca="false">SUMIFS('Weekly Plan'!$F$5:$F$68,'Weekly Plan'!$B$5:$B$68,"&gt;="&amp;B16,'Weekly Plan'!$B$5:$B$68,"&lt;"&amp;DATE(YEAR(Dashboard!$B$5),MONTH(Dashboard!$B$5)+A16,1))</f>
        <v>0</v>
      </c>
      <c r="E16" s="60" t="n">
        <f aca="false">COUNTIFS('Upwork Pipeline'!$A$6:$A$505,"&gt;="&amp;B16,'Upwork Pipeline'!$A$6:$A$505,"&lt;"&amp;DATE(YEAR(Dashboard!$B$5),MONTH(Dashboard!$B$5)+A16,1))</f>
        <v>0</v>
      </c>
      <c r="F16" s="60" t="n">
        <f aca="false">COUNTIFS('Upwork Pipeline'!$A$6:$A$505,"&gt;="&amp;B16,'Upwork Pipeline'!$A$6:$A$505,"&lt;"&amp;DATE(YEAR(Dashboard!$B$5),MONTH(Dashboard!$B$5)+A16,1),'Upwork Pipeline'!$K$6:$K$505,"Yes")</f>
        <v>0</v>
      </c>
      <c r="G16" s="64"/>
      <c r="H16" s="64"/>
      <c r="I16" s="64"/>
      <c r="J16" s="35"/>
      <c r="K16" s="35"/>
    </row>
    <row r="17" customFormat="false" ht="39.75" hidden="false" customHeight="true" outlineLevel="0" collapsed="false">
      <c r="A17" s="60" t="n">
        <v>13</v>
      </c>
      <c r="B17" s="65" t="n">
        <f aca="false">DATE(YEAR(Dashboard!$B$5),MONTH(Dashboard!$B$5)+A17-1,1)</f>
        <v>46631</v>
      </c>
      <c r="C17" s="60" t="n">
        <f aca="false">COUNTIFS('Weekly Plan'!$B$5:$B$68,"&gt;="&amp;B17,'Weekly Plan'!$B$5:$B$68,"&lt;"&amp;DATE(YEAR(Dashboard!$B$5),MONTH(Dashboard!$B$5)+A17,1),'Weekly Plan'!$G$5:$G$68,"Done")</f>
        <v>0</v>
      </c>
      <c r="D17" s="60" t="n">
        <f aca="false">SUMIFS('Weekly Plan'!$F$5:$F$68,'Weekly Plan'!$B$5:$B$68,"&gt;="&amp;B17,'Weekly Plan'!$B$5:$B$68,"&lt;"&amp;DATE(YEAR(Dashboard!$B$5),MONTH(Dashboard!$B$5)+A17,1))</f>
        <v>0</v>
      </c>
      <c r="E17" s="60" t="n">
        <f aca="false">COUNTIFS('Upwork Pipeline'!$A$6:$A$505,"&gt;="&amp;B17,'Upwork Pipeline'!$A$6:$A$505,"&lt;"&amp;DATE(YEAR(Dashboard!$B$5),MONTH(Dashboard!$B$5)+A17,1))</f>
        <v>0</v>
      </c>
      <c r="F17" s="60" t="n">
        <f aca="false">COUNTIFS('Upwork Pipeline'!$A$6:$A$505,"&gt;="&amp;B17,'Upwork Pipeline'!$A$6:$A$505,"&lt;"&amp;DATE(YEAR(Dashboard!$B$5),MONTH(Dashboard!$B$5)+A17,1),'Upwork Pipeline'!$K$6:$K$505,"Yes")</f>
        <v>0</v>
      </c>
      <c r="G17" s="64"/>
      <c r="H17" s="64"/>
      <c r="I17" s="64"/>
      <c r="J17" s="35"/>
      <c r="K17" s="35"/>
    </row>
    <row r="18" customFormat="false" ht="39.75" hidden="false" customHeight="true" outlineLevel="0" collapsed="false">
      <c r="A18" s="60" t="n">
        <v>14</v>
      </c>
      <c r="B18" s="65" t="n">
        <f aca="false">DATE(YEAR(Dashboard!$B$5),MONTH(Dashboard!$B$5)+A18-1,1)</f>
        <v>46661</v>
      </c>
      <c r="C18" s="60" t="n">
        <f aca="false">COUNTIFS('Weekly Plan'!$B$5:$B$68,"&gt;="&amp;B18,'Weekly Plan'!$B$5:$B$68,"&lt;"&amp;DATE(YEAR(Dashboard!$B$5),MONTH(Dashboard!$B$5)+A18,1),'Weekly Plan'!$G$5:$G$68,"Done")</f>
        <v>0</v>
      </c>
      <c r="D18" s="60" t="n">
        <f aca="false">SUMIFS('Weekly Plan'!$F$5:$F$68,'Weekly Plan'!$B$5:$B$68,"&gt;="&amp;B18,'Weekly Plan'!$B$5:$B$68,"&lt;"&amp;DATE(YEAR(Dashboard!$B$5),MONTH(Dashboard!$B$5)+A18,1))</f>
        <v>0</v>
      </c>
      <c r="E18" s="60" t="n">
        <f aca="false">COUNTIFS('Upwork Pipeline'!$A$6:$A$505,"&gt;="&amp;B18,'Upwork Pipeline'!$A$6:$A$505,"&lt;"&amp;DATE(YEAR(Dashboard!$B$5),MONTH(Dashboard!$B$5)+A18,1))</f>
        <v>0</v>
      </c>
      <c r="F18" s="60" t="n">
        <f aca="false">COUNTIFS('Upwork Pipeline'!$A$6:$A$505,"&gt;="&amp;B18,'Upwork Pipeline'!$A$6:$A$505,"&lt;"&amp;DATE(YEAR(Dashboard!$B$5),MONTH(Dashboard!$B$5)+A18,1),'Upwork Pipeline'!$K$6:$K$505,"Yes")</f>
        <v>0</v>
      </c>
      <c r="G18" s="64"/>
      <c r="H18" s="64"/>
      <c r="I18" s="64"/>
      <c r="J18" s="35"/>
      <c r="K18" s="35"/>
    </row>
    <row r="19" customFormat="false" ht="39.75" hidden="false" customHeight="true" outlineLevel="0" collapsed="false">
      <c r="A19" s="60" t="n">
        <v>15</v>
      </c>
      <c r="B19" s="65" t="n">
        <f aca="false">DATE(YEAR(Dashboard!$B$5),MONTH(Dashboard!$B$5)+A19-1,1)</f>
        <v>46692</v>
      </c>
      <c r="C19" s="60" t="n">
        <f aca="false">COUNTIFS('Weekly Plan'!$B$5:$B$68,"&gt;="&amp;B19,'Weekly Plan'!$B$5:$B$68,"&lt;"&amp;DATE(YEAR(Dashboard!$B$5),MONTH(Dashboard!$B$5)+A19,1),'Weekly Plan'!$G$5:$G$68,"Done")</f>
        <v>0</v>
      </c>
      <c r="D19" s="60" t="n">
        <f aca="false">SUMIFS('Weekly Plan'!$F$5:$F$68,'Weekly Plan'!$B$5:$B$68,"&gt;="&amp;B19,'Weekly Plan'!$B$5:$B$68,"&lt;"&amp;DATE(YEAR(Dashboard!$B$5),MONTH(Dashboard!$B$5)+A19,1))</f>
        <v>0</v>
      </c>
      <c r="E19" s="60" t="n">
        <f aca="false">COUNTIFS('Upwork Pipeline'!$A$6:$A$505,"&gt;="&amp;B19,'Upwork Pipeline'!$A$6:$A$505,"&lt;"&amp;DATE(YEAR(Dashboard!$B$5),MONTH(Dashboard!$B$5)+A19,1))</f>
        <v>0</v>
      </c>
      <c r="F19" s="60" t="n">
        <f aca="false">COUNTIFS('Upwork Pipeline'!$A$6:$A$505,"&gt;="&amp;B19,'Upwork Pipeline'!$A$6:$A$505,"&lt;"&amp;DATE(YEAR(Dashboard!$B$5),MONTH(Dashboard!$B$5)+A19,1),'Upwork Pipeline'!$K$6:$K$505,"Yes")</f>
        <v>0</v>
      </c>
      <c r="G19" s="64"/>
      <c r="H19" s="64"/>
      <c r="I19" s="64"/>
      <c r="J19" s="35"/>
      <c r="K19" s="35"/>
    </row>
    <row r="20" customFormat="false" ht="39.75" hidden="false" customHeight="true" outlineLevel="0" collapsed="false">
      <c r="A20" s="60" t="n">
        <v>16</v>
      </c>
      <c r="B20" s="65" t="n">
        <f aca="false">DATE(YEAR(Dashboard!$B$5),MONTH(Dashboard!$B$5)+A20-1,1)</f>
        <v>46722</v>
      </c>
      <c r="C20" s="60" t="n">
        <f aca="false">COUNTIFS('Weekly Plan'!$B$5:$B$68,"&gt;="&amp;B20,'Weekly Plan'!$B$5:$B$68,"&lt;"&amp;DATE(YEAR(Dashboard!$B$5),MONTH(Dashboard!$B$5)+A20,1),'Weekly Plan'!$G$5:$G$68,"Done")</f>
        <v>0</v>
      </c>
      <c r="D20" s="60" t="n">
        <f aca="false">SUMIFS('Weekly Plan'!$F$5:$F$68,'Weekly Plan'!$B$5:$B$68,"&gt;="&amp;B20,'Weekly Plan'!$B$5:$B$68,"&lt;"&amp;DATE(YEAR(Dashboard!$B$5),MONTH(Dashboard!$B$5)+A20,1))</f>
        <v>0</v>
      </c>
      <c r="E20" s="60" t="n">
        <f aca="false">COUNTIFS('Upwork Pipeline'!$A$6:$A$505,"&gt;="&amp;B20,'Upwork Pipeline'!$A$6:$A$505,"&lt;"&amp;DATE(YEAR(Dashboard!$B$5),MONTH(Dashboard!$B$5)+A20,1))</f>
        <v>0</v>
      </c>
      <c r="F20" s="60" t="n">
        <f aca="false">COUNTIFS('Upwork Pipeline'!$A$6:$A$505,"&gt;="&amp;B20,'Upwork Pipeline'!$A$6:$A$505,"&lt;"&amp;DATE(YEAR(Dashboard!$B$5),MONTH(Dashboard!$B$5)+A20,1),'Upwork Pipeline'!$K$6:$K$505,"Yes")</f>
        <v>0</v>
      </c>
      <c r="G20" s="64"/>
      <c r="H20" s="64"/>
      <c r="I20" s="64"/>
      <c r="J20" s="35"/>
      <c r="K20" s="35"/>
    </row>
    <row r="21" customFormat="false" ht="15" hidden="false" customHeight="false" outlineLevel="0" collapsed="false">
      <c r="A21" s="57" t="s">
        <v>490</v>
      </c>
      <c r="C21" s="57" t="n">
        <f aca="false">SUM(C5:C20)</f>
        <v>1</v>
      </c>
      <c r="D21" s="57" t="n">
        <f aca="false">SUM(D5:D20)</f>
        <v>20</v>
      </c>
      <c r="E21" s="57" t="n">
        <f aca="false">SUM(E5:E20)</f>
        <v>0</v>
      </c>
      <c r="F21" s="57" t="n">
        <f aca="false">SUM(F5:F20)</f>
        <v>0</v>
      </c>
      <c r="G21" s="67" t="n">
        <f aca="false">SUM(G5:G20)</f>
        <v>0</v>
      </c>
      <c r="H21" s="67" t="n">
        <f aca="false">SUM(H5:H20)</f>
        <v>900</v>
      </c>
    </row>
    <row r="23" customFormat="false" ht="15" hidden="false" customHeight="false" outlineLevel="0" collapsed="false">
      <c r="H23" s="68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2026-09-23T12:59:17Z</dcterms:created>
  <dc:creator>openpyxl</dc:creator>
  <dc:description/>
  <dc:language>en-US</dc:language>
  <cp:lastModifiedBy/>
  <dcterms:modified xsi:type="dcterms:W3CDTF">2026-09-23T12:59:18Z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